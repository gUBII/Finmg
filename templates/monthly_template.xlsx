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ummary" sheetId="1" state="visible" r:id="rId1"/>
    <sheet name="Transactions" sheetId="2" state="visible" r:id="rId2"/>
  </sheets>
  <definedNames>
    <definedName name="StartingBalance">Summary!$L$8</definedName>
  </definedNames>
  <calcPr calcId="124519" fullCalcOnLoad="1"/>
</workbook>
</file>

<file path=xl/styles.xml><?xml version="1.0" encoding="utf-8"?>
<styleSheet xmlns="http://schemas.openxmlformats.org/spreadsheetml/2006/main">
  <numFmts count="8">
    <numFmt numFmtId="164" formatCode="[$$]#,##0.00"/>
    <numFmt numFmtId="165" formatCode="mmmm&quot; &quot;yyyy"/>
    <numFmt numFmtId="166" formatCode="&quot;$&quot;#,##0"/>
    <numFmt numFmtId="167" formatCode="+#,#%;-#,#%;0%"/>
    <numFmt numFmtId="168" formatCode="[$£-809]#,##0"/>
    <numFmt numFmtId="169" formatCode="+£#,#;-£#,#;£0"/>
    <numFmt numFmtId="170" formatCode="dd/MM/yyyy"/>
    <numFmt numFmtId="171" formatCode="[$£-809]#,##0.00"/>
  </numFmts>
  <fonts count="47">
    <font>
      <name val="Arial"/>
      <color rgb="FF000000"/>
      <sz val="10"/>
    </font>
    <font>
      <name val="Lato"/>
      <sz val="10"/>
    </font>
    <font>
      <name val="Lato"/>
      <color rgb="FFFFFFFF"/>
      <sz val="9"/>
    </font>
    <font>
      <name val="Lato"/>
      <b val="1"/>
      <color rgb="FFFFFFFF"/>
      <sz val="9"/>
    </font>
    <font>
      <name val="Lato"/>
      <color rgb="FFCCCCCC"/>
      <sz val="9"/>
    </font>
    <font>
      <name val="Lato"/>
      <color rgb="FFCCCCCC"/>
      <sz val="10"/>
    </font>
    <font>
      <name val="Lato"/>
      <i val="1"/>
      <color rgb="FF334960"/>
      <sz val="10"/>
    </font>
    <font>
      <name val="Lato"/>
      <i val="1"/>
      <color rgb="FFCCCCCC"/>
      <sz val="10"/>
    </font>
    <font>
      <name val="Lato"/>
    </font>
    <font>
      <name val="Lato"/>
      <color rgb="FF334960"/>
      <sz val="10"/>
    </font>
    <font>
      <name val="Lato"/>
      <color rgb="FFF46524"/>
      <sz val="10"/>
    </font>
    <font>
      <name val="Raleway"/>
      <b val="1"/>
      <color rgb="FFF46524"/>
      <sz val="25"/>
    </font>
    <font>
      <name val="Lato"/>
      <color rgb="FF334960"/>
    </font>
    <font>
      <name val="Lato"/>
      <b val="1"/>
      <color rgb="FF334960"/>
      <sz val="10"/>
    </font>
    <font>
      <name val="Lato"/>
      <b val="1"/>
      <color rgb="FF334960"/>
      <sz val="25"/>
    </font>
    <font>
      <name val="Lato"/>
      <b val="1"/>
      <sz val="10"/>
    </font>
    <font/>
    <font>
      <name val="Lato"/>
      <color rgb="FF334960"/>
      <sz val="24"/>
    </font>
    <font>
      <name val="Lato"/>
      <b val="1"/>
      <color rgb="FF334960"/>
      <sz val="24"/>
    </font>
    <font>
      <name val="Lato"/>
      <i val="1"/>
      <color rgb="FF576475"/>
      <sz val="10"/>
    </font>
    <font>
      <name val="Lato"/>
      <b val="1"/>
    </font>
    <font>
      <name val="Lato"/>
      <b val="1"/>
      <color rgb="FF334960"/>
      <sz val="14"/>
    </font>
    <font>
      <name val="Lato"/>
      <b val="1"/>
      <color rgb="FFF46524"/>
      <sz val="14"/>
    </font>
    <font>
      <name val="Lato"/>
      <i val="1"/>
      <color rgb="FFF46524"/>
      <sz val="10"/>
    </font>
    <font>
      <name val="Lato"/>
      <sz val="14"/>
    </font>
    <font>
      <name val="Lato"/>
      <color rgb="FF576475"/>
      <sz val="10"/>
    </font>
    <font>
      <name val="Lato"/>
      <b val="1"/>
      <color rgb="FF576475"/>
      <sz val="10"/>
    </font>
    <font>
      <name val="Lato"/>
      <b val="1"/>
      <color rgb="FF334960"/>
    </font>
    <font>
      <name val="Lato"/>
      <b val="1"/>
      <color rgb="FF666666"/>
      <sz val="10"/>
    </font>
    <font>
      <name val="Lato"/>
      <color rgb="FF666666"/>
      <sz val="10"/>
    </font>
    <font>
      <name val="Lato"/>
      <b val="1"/>
      <color rgb="FFF46524"/>
      <sz val="10"/>
    </font>
    <font>
      <name val="Raleway"/>
      <b val="1"/>
      <color rgb="FFF46524"/>
      <sz val="17"/>
    </font>
    <font>
      <name val="Raleway"/>
      <b val="1"/>
      <color rgb="FFF46524"/>
      <sz val="18"/>
    </font>
    <font>
      <name val="Lato"/>
      <b val="1"/>
      <color rgb="FFF46524"/>
      <sz val="18"/>
    </font>
    <font>
      <name val="Lato"/>
      <b val="1"/>
      <color rgb="FF334960"/>
      <sz val="11"/>
    </font>
    <font>
      <name val="Lato"/>
      <b val="1"/>
      <color rgb="FF334960"/>
      <sz val="17"/>
    </font>
    <font>
      <name val="Lato"/>
      <b val="1"/>
      <color rgb="FF334960"/>
      <sz val="18"/>
    </font>
    <font>
      <name val="Lato"/>
      <color rgb="FF334960"/>
      <sz val="18"/>
    </font>
    <font>
      <name val="Lato"/>
      <i val="1"/>
      <color rgb="FF687887"/>
      <sz val="9"/>
    </font>
    <font>
      <name val="Lato"/>
      <b val="1"/>
      <color rgb="FF434343"/>
      <sz val="10"/>
    </font>
    <font>
      <name val="Lato"/>
      <color rgb="FF434343"/>
      <sz val="10"/>
    </font>
    <font>
      <name val="Lato"/>
      <color rgb="FF687887"/>
      <sz val="10"/>
    </font>
    <font>
      <name val="Lato"/>
      <b val="1"/>
      <color rgb="FF434343"/>
    </font>
    <font>
      <name val="Lato"/>
      <color rgb="FF434343"/>
    </font>
    <font>
      <name val="Lato"/>
      <i val="1"/>
      <color rgb="FF708090"/>
      <sz val="10"/>
    </font>
    <font>
      <name val="Raleway"/>
      <color rgb="FFF46524"/>
      <sz val="10"/>
    </font>
    <font>
      <name val="Lato"/>
      <color rgb="FF556376"/>
      <sz val="10"/>
    </font>
  </fonts>
  <fills count="7">
    <fill>
      <patternFill/>
    </fill>
    <fill>
      <patternFill patternType="lightGray"/>
    </fill>
    <fill>
      <patternFill patternType="solid">
        <fgColor rgb="FF334960"/>
        <bgColor rgb="FF334960"/>
      </patternFill>
    </fill>
    <fill>
      <patternFill patternType="solid">
        <fgColor rgb="FFFFF2ED"/>
        <bgColor rgb="FFFFF2ED"/>
      </patternFill>
    </fill>
    <fill>
      <patternFill patternType="solid">
        <fgColor rgb="FFFFFFFF"/>
        <bgColor rgb="FFFFFFFF"/>
      </patternFill>
    </fill>
    <fill>
      <patternFill patternType="solid">
        <fgColor rgb="FFEBEDEF"/>
        <bgColor rgb="FFEBEDEF"/>
      </patternFill>
    </fill>
    <fill>
      <patternFill patternType="solid">
        <fgColor rgb="FFFCECE6"/>
        <bgColor rgb="FFFCECE6"/>
      </patternFill>
    </fill>
  </fills>
  <borders count="29">
    <border/>
    <border>
      <left style="thin">
        <color rgb="FFD9D9D9"/>
      </left>
      <top style="thin">
        <color rgb="FFD9D9D9"/>
      </top>
    </border>
    <border>
      <top style="thin">
        <color rgb="FFD9D9D9"/>
      </top>
    </border>
    <border>
      <right style="thin">
        <color rgb="FFD9D9D9"/>
      </right>
      <top style="thin">
        <color rgb="FFD9D9D9"/>
      </top>
    </border>
    <border>
      <right style="dotted">
        <color rgb="FFB7B7B7"/>
      </right>
    </border>
    <border>
      <left style="thin">
        <color rgb="FFD9D9D9"/>
      </left>
    </border>
    <border>
      <right style="thin">
        <color rgb="FFD9D9D9"/>
      </right>
    </border>
    <border>
      <bottom style="dotted">
        <color rgb="FFB7B7B7"/>
      </bottom>
    </border>
    <border>
      <left style="thin">
        <color rgb="FFD9D9D9"/>
      </left>
      <bottom style="thin">
        <color rgb="FFD9D9D9"/>
      </bottom>
    </border>
    <border>
      <bottom style="thin">
        <color rgb="FFD9D9D9"/>
      </bottom>
    </border>
    <border>
      <right style="thin">
        <color rgb="FFD9D9D9"/>
      </right>
      <bottom style="thin">
        <color rgb="FFD9D9D9"/>
      </bottom>
    </border>
    <border>
      <bottom style="thin">
        <color rgb="FFFFFFFF"/>
      </bottom>
    </border>
    <border>
      <top style="thin">
        <color rgb="FFA7B0BF"/>
      </top>
    </border>
    <border>
      <bottom style="thin">
        <color rgb="FFA7B0BF"/>
      </bottom>
    </border>
    <border>
      <left style="thin">
        <color rgb="FFFFFFFF"/>
      </left>
    </border>
    <border>
      <right style="thin">
        <color rgb="FFFFFFFF"/>
      </right>
    </border>
    <border>
      <left style="thin">
        <color rgb="FFFFFFFF"/>
      </left>
      <right style="thin">
        <color rgb="FFFFFFFF"/>
      </right>
    </border>
    <border>
      <left style="thin">
        <color rgb="FFFFFFFF"/>
      </left>
      <bottom style="thin">
        <color rgb="FFFFFFFF"/>
      </bottom>
    </border>
    <border>
      <right style="thin">
        <color rgb="FFFFFFFF"/>
      </right>
      <bottom style="thin">
        <color rgb="FFFFFFFF"/>
      </bottom>
    </border>
    <border>
      <left style="thin">
        <color rgb="FFFFFFFF"/>
      </left>
      <right style="thin">
        <color rgb="FFFFFFFF"/>
      </right>
      <bottom style="thin">
        <color rgb="FFFFFFFF"/>
      </bottom>
    </border>
    <border>
      <left style="thin">
        <color rgb="FFFFFFFF"/>
      </left>
      <top style="thin">
        <color rgb="FFFFFFFF"/>
      </top>
      <bottom style="thin">
        <color rgb="FFFFFFFF"/>
      </bottom>
    </border>
    <border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bottom style="thin">
        <color rgb="FFCCCCCC"/>
      </bottom>
    </border>
    <border>
      <bottom style="hair">
        <color rgb="FFD9D9D9"/>
      </bottom>
    </border>
    <border>
      <top style="hair">
        <color rgb="FFD9D9D9"/>
      </top>
      <bottom style="hair">
        <color rgb="FFD9D9D9"/>
      </bottom>
    </border>
    <border>
      <top style="hair">
        <color rgb="FFD9D9D9"/>
      </top>
    </border>
    <border>
      <top style="thin">
        <color rgb="FFFFFFFF"/>
      </top>
    </border>
    <border>
      <right style="thin">
        <color rgb="FFFFFFFF"/>
      </right>
      <top style="thin">
        <color rgb="FFFFFFFF"/>
      </top>
    </border>
  </borders>
  <cellStyleXfs count="1">
    <xf numFmtId="0" fontId="0" fillId="0" borderId="0"/>
  </cellStyleXfs>
  <cellXfs count="161">
    <xf numFmtId="0" fontId="0" fillId="0" borderId="0" applyAlignment="1" pivotButton="0" quotePrefix="0" xfId="0">
      <alignment vertical="bottom"/>
    </xf>
    <xf numFmtId="0" fontId="1" fillId="2" borderId="0" applyAlignment="1" pivotButton="0" quotePrefix="0" xfId="0">
      <alignment vertical="bottom"/>
    </xf>
    <xf numFmtId="0" fontId="1" fillId="2" borderId="0" applyAlignment="1" pivotButton="0" quotePrefix="0" xfId="0">
      <alignment horizontal="right" vertical="bottom"/>
    </xf>
    <xf numFmtId="0" fontId="2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vertical="center" wrapText="1"/>
    </xf>
    <xf numFmtId="0" fontId="3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top" wrapText="1"/>
    </xf>
    <xf numFmtId="0" fontId="6" fillId="3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left" vertical="center" wrapText="1"/>
    </xf>
    <xf numFmtId="0" fontId="4" fillId="2" borderId="0" applyAlignment="1" pivotButton="0" quotePrefix="0" xfId="0">
      <alignment vertical="bottom" wrapText="1"/>
    </xf>
    <xf numFmtId="0" fontId="5" fillId="2" borderId="0" applyAlignment="1" pivotButton="0" quotePrefix="0" xfId="0">
      <alignment horizontal="left" vertical="bottom" wrapText="1"/>
    </xf>
    <xf numFmtId="0" fontId="1" fillId="2" borderId="0" pivotButton="0" quotePrefix="0" xfId="0"/>
    <xf numFmtId="0" fontId="1" fillId="0" borderId="0" applyAlignment="1" pivotButton="0" quotePrefix="0" xfId="0">
      <alignment vertical="bottom"/>
    </xf>
    <xf numFmtId="0" fontId="8" fillId="0" borderId="0" applyAlignment="1" pivotButton="0" quotePrefix="0" xfId="0">
      <alignment vertical="top"/>
    </xf>
    <xf numFmtId="0" fontId="1" fillId="0" borderId="0" applyAlignment="1" pivotButton="0" quotePrefix="0" xfId="0">
      <alignment vertical="top"/>
    </xf>
    <xf numFmtId="0" fontId="9" fillId="0" borderId="0" applyAlignment="1" pivotButton="0" quotePrefix="0" xfId="0">
      <alignment vertical="top"/>
    </xf>
    <xf numFmtId="0" fontId="9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vertical="top"/>
    </xf>
    <xf numFmtId="0" fontId="11" fillId="4" borderId="0" applyAlignment="1" pivotButton="0" quotePrefix="0" xfId="0">
      <alignment horizontal="left" vertical="top"/>
    </xf>
    <xf numFmtId="0" fontId="12" fillId="0" borderId="0" applyAlignment="1" pivotButton="0" quotePrefix="0" xfId="0">
      <alignment vertical="top"/>
    </xf>
    <xf numFmtId="0" fontId="8" fillId="0" borderId="0" pivotButton="0" quotePrefix="0" xfId="0"/>
    <xf numFmtId="0" fontId="13" fillId="0" borderId="0" applyAlignment="1" pivotButton="0" quotePrefix="0" xfId="0">
      <alignment horizontal="right" vertical="center"/>
    </xf>
    <xf numFmtId="164" fontId="12" fillId="3" borderId="0" applyAlignment="1" pivotButton="0" quotePrefix="0" xfId="0">
      <alignment vertical="center"/>
    </xf>
    <xf numFmtId="0" fontId="6" fillId="0" borderId="0" applyAlignment="1" pivotButton="0" quotePrefix="0" xfId="0">
      <alignment vertical="top"/>
    </xf>
    <xf numFmtId="165" fontId="14" fillId="4" borderId="0" applyAlignment="1" pivotButton="0" quotePrefix="0" xfId="0">
      <alignment horizontal="left" vertical="top"/>
    </xf>
    <xf numFmtId="0" fontId="15" fillId="0" borderId="0" applyAlignment="1" pivotButton="0" quotePrefix="0" xfId="0">
      <alignment vertical="bottom"/>
    </xf>
    <xf numFmtId="0" fontId="1" fillId="0" borderId="0" applyAlignment="1" pivotButton="0" quotePrefix="0" xfId="0">
      <alignment horizontal="left" vertical="bottom"/>
    </xf>
    <xf numFmtId="0" fontId="8" fillId="5" borderId="1" pivotButton="0" quotePrefix="0" xfId="0"/>
    <xf numFmtId="0" fontId="8" fillId="5" borderId="2" pivotButton="0" quotePrefix="0" xfId="0"/>
    <xf numFmtId="0" fontId="1" fillId="5" borderId="3" applyAlignment="1" pivotButton="0" quotePrefix="0" xfId="0">
      <alignment vertical="bottom"/>
    </xf>
    <xf numFmtId="166" fontId="1" fillId="0" borderId="4" applyAlignment="1" pivotButton="0" quotePrefix="0" xfId="0">
      <alignment vertical="bottom"/>
    </xf>
    <xf numFmtId="0" fontId="8" fillId="5" borderId="5" pivotButton="0" quotePrefix="0" xfId="0"/>
    <xf numFmtId="0" fontId="8" fillId="5" borderId="0" pivotButton="0" quotePrefix="0" xfId="0"/>
    <xf numFmtId="0" fontId="8" fillId="5" borderId="6" pivotButton="0" quotePrefix="0" xfId="0"/>
    <xf numFmtId="166" fontId="1" fillId="0" borderId="0" applyAlignment="1" pivotButton="0" quotePrefix="0" xfId="0">
      <alignment vertical="bottom"/>
    </xf>
    <xf numFmtId="0" fontId="16" fillId="0" borderId="4" pivotButton="0" quotePrefix="0" xfId="0"/>
    <xf numFmtId="167" fontId="17" fillId="5" borderId="0" applyAlignment="1" pivotButton="0" quotePrefix="0" xfId="0">
      <alignment horizontal="center" vertical="bottom"/>
    </xf>
    <xf numFmtId="0" fontId="18" fillId="0" borderId="0" applyAlignment="1" pivotButton="0" quotePrefix="0" xfId="0">
      <alignment horizontal="left" vertical="bottom"/>
    </xf>
    <xf numFmtId="0" fontId="19" fillId="5" borderId="7" applyAlignment="1" pivotButton="0" quotePrefix="0" xfId="0">
      <alignment horizontal="center" vertical="top"/>
    </xf>
    <xf numFmtId="0" fontId="16" fillId="0" borderId="7" pivotButton="0" quotePrefix="0" xfId="0"/>
    <xf numFmtId="9" fontId="18" fillId="0" borderId="0" applyAlignment="1" pivotButton="0" quotePrefix="0" xfId="0">
      <alignment horizontal="left" vertical="bottom"/>
    </xf>
    <xf numFmtId="164" fontId="17" fillId="5" borderId="0" applyAlignment="1" pivotButton="0" quotePrefix="0" xfId="0">
      <alignment horizontal="center" vertical="bottom"/>
    </xf>
    <xf numFmtId="0" fontId="8" fillId="5" borderId="6" applyAlignment="1" pivotButton="0" quotePrefix="0" xfId="0">
      <alignment/>
    </xf>
    <xf numFmtId="0" fontId="20" fillId="0" borderId="0" pivotButton="0" quotePrefix="0" xfId="0"/>
    <xf numFmtId="0" fontId="21" fillId="0" borderId="4" applyAlignment="1" pivotButton="0" quotePrefix="0" xfId="0">
      <alignment horizontal="right" vertical="bottom"/>
    </xf>
    <xf numFmtId="166" fontId="22" fillId="0" borderId="0" applyAlignment="1" pivotButton="0" quotePrefix="0" xfId="0">
      <alignment horizontal="left" vertical="bottom"/>
    </xf>
    <xf numFmtId="166" fontId="15" fillId="0" borderId="0" applyAlignment="1" pivotButton="0" quotePrefix="0" xfId="0">
      <alignment vertical="bottom"/>
    </xf>
    <xf numFmtId="9" fontId="19" fillId="5" borderId="0" applyAlignment="1" pivotButton="0" quotePrefix="0" xfId="0">
      <alignment horizontal="center" vertical="top"/>
    </xf>
    <xf numFmtId="0" fontId="19" fillId="0" borderId="0" applyAlignment="1" pivotButton="0" quotePrefix="0" xfId="0">
      <alignment horizontal="left" vertical="top"/>
    </xf>
    <xf numFmtId="164" fontId="19" fillId="0" borderId="4" applyAlignment="1" pivotButton="0" quotePrefix="0" xfId="0">
      <alignment horizontal="center" vertical="top"/>
    </xf>
    <xf numFmtId="164" fontId="23" fillId="0" borderId="0" applyAlignment="1" pivotButton="0" quotePrefix="0" xfId="0">
      <alignment horizontal="center" vertical="top"/>
    </xf>
    <xf numFmtId="0" fontId="8" fillId="0" borderId="0" applyAlignment="1" pivotButton="0" quotePrefix="0" xfId="0">
      <alignment vertical="center"/>
    </xf>
    <xf numFmtId="0" fontId="8" fillId="5" borderId="8" pivotButton="0" quotePrefix="0" xfId="0"/>
    <xf numFmtId="0" fontId="8" fillId="5" borderId="9" pivotButton="0" quotePrefix="0" xfId="0"/>
    <xf numFmtId="0" fontId="8" fillId="5" borderId="9" applyAlignment="1" pivotButton="0" quotePrefix="0" xfId="0">
      <alignment vertical="top"/>
    </xf>
    <xf numFmtId="0" fontId="8" fillId="5" borderId="10" pivotButton="0" quotePrefix="0" xfId="0"/>
    <xf numFmtId="0" fontId="8" fillId="0" borderId="0" applyAlignment="1" pivotButton="0" quotePrefix="0" xfId="0">
      <alignment vertical="top"/>
    </xf>
    <xf numFmtId="0" fontId="24" fillId="0" borderId="0" applyAlignment="1" pivotButton="0" quotePrefix="0" xfId="0">
      <alignment vertical="center"/>
    </xf>
    <xf numFmtId="0" fontId="21" fillId="0" borderId="0" applyAlignment="1" pivotButton="0" quotePrefix="0" xfId="0">
      <alignment horizontal="left" vertical="center"/>
    </xf>
    <xf numFmtId="0" fontId="24" fillId="0" borderId="0" applyAlignment="1" pivotButton="0" quotePrefix="0" xfId="0">
      <alignment horizontal="right" vertical="center"/>
    </xf>
    <xf numFmtId="0" fontId="25" fillId="0" borderId="0" applyAlignment="1" pivotButton="0" quotePrefix="0" xfId="0">
      <alignment vertical="center"/>
    </xf>
    <xf numFmtId="0" fontId="26" fillId="0" borderId="0" applyAlignment="1" pivotButton="0" quotePrefix="0" xfId="0">
      <alignment horizontal="left" vertical="center"/>
    </xf>
    <xf numFmtId="164" fontId="25" fillId="0" borderId="0" applyAlignment="1" pivotButton="0" quotePrefix="0" xfId="0">
      <alignment horizontal="right" vertical="center"/>
    </xf>
    <xf numFmtId="0" fontId="25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7" fillId="0" borderId="0" applyAlignment="1" pivotButton="0" quotePrefix="0" xfId="0">
      <alignment horizontal="left" vertical="center"/>
    </xf>
    <xf numFmtId="164" fontId="9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left" vertical="center"/>
    </xf>
    <xf numFmtId="0" fontId="28" fillId="0" borderId="0" applyAlignment="1" pivotButton="0" quotePrefix="0" xfId="0">
      <alignment horizontal="left"/>
    </xf>
    <xf numFmtId="168" fontId="29" fillId="0" borderId="0" applyAlignment="1" pivotButton="0" quotePrefix="0" xfId="0">
      <alignment horizontal="right"/>
    </xf>
    <xf numFmtId="0" fontId="1" fillId="4" borderId="0" applyAlignment="1" pivotButton="0" quotePrefix="0" xfId="0">
      <alignment vertical="bottom"/>
    </xf>
    <xf numFmtId="168" fontId="30" fillId="0" borderId="0" applyAlignment="1" pivotButton="0" quotePrefix="0" xfId="0">
      <alignment vertical="top"/>
    </xf>
    <xf numFmtId="168" fontId="31" fillId="0" borderId="0" applyAlignment="1" pivotButton="0" quotePrefix="0" xfId="0">
      <alignment horizontal="left" vertical="top"/>
    </xf>
    <xf numFmtId="168" fontId="20" fillId="0" borderId="0" applyAlignment="1" pivotButton="0" quotePrefix="0" xfId="0">
      <alignment vertical="top"/>
    </xf>
    <xf numFmtId="168" fontId="30" fillId="0" borderId="0" applyAlignment="1" pivotButton="0" quotePrefix="0" xfId="0">
      <alignment horizontal="right" vertical="top"/>
    </xf>
    <xf numFmtId="168" fontId="32" fillId="0" borderId="0" applyAlignment="1" pivotButton="0" quotePrefix="0" xfId="0">
      <alignment horizontal="left" vertical="top"/>
    </xf>
    <xf numFmtId="168" fontId="33" fillId="0" borderId="0" applyAlignment="1" pivotButton="0" quotePrefix="0" xfId="0">
      <alignment horizontal="left" vertical="top"/>
    </xf>
    <xf numFmtId="168" fontId="9" fillId="0" borderId="11" applyAlignment="1" pivotButton="0" quotePrefix="0" xfId="0">
      <alignment vertical="bottom"/>
    </xf>
    <xf numFmtId="168" fontId="34" fillId="0" borderId="12" applyAlignment="1" pivotButton="0" quotePrefix="0" xfId="0">
      <alignment horizontal="right" vertical="bottom"/>
    </xf>
    <xf numFmtId="168" fontId="35" fillId="0" borderId="12" applyAlignment="1" pivotButton="0" quotePrefix="0" xfId="0">
      <alignment horizontal="left" vertical="bottom"/>
    </xf>
    <xf numFmtId="164" fontId="34" fillId="0" borderId="12" applyAlignment="1" pivotButton="0" quotePrefix="0" xfId="0">
      <alignment horizontal="right" vertical="bottom"/>
    </xf>
    <xf numFmtId="164" fontId="34" fillId="0" borderId="12" applyAlignment="1" pivotButton="0" quotePrefix="0" xfId="0">
      <alignment horizontal="right" vertical="bottom"/>
    </xf>
    <xf numFmtId="168" fontId="9" fillId="0" borderId="11" applyAlignment="1" pivotButton="0" quotePrefix="0" xfId="0">
      <alignment horizontal="right" vertical="bottom"/>
    </xf>
    <xf numFmtId="168" fontId="36" fillId="0" borderId="12" applyAlignment="1" pivotButton="0" quotePrefix="0" xfId="0">
      <alignment horizontal="left" vertical="bottom"/>
    </xf>
    <xf numFmtId="168" fontId="37" fillId="0" borderId="12" applyAlignment="1" pivotButton="0" quotePrefix="0" xfId="0">
      <alignment horizontal="left" vertical="bottom"/>
    </xf>
    <xf numFmtId="168" fontId="38" fillId="0" borderId="0" applyAlignment="1" pivotButton="0" quotePrefix="0" xfId="0">
      <alignment vertical="top"/>
    </xf>
    <xf numFmtId="168" fontId="38" fillId="0" borderId="13" applyAlignment="1" pivotButton="0" quotePrefix="0" xfId="0">
      <alignment vertical="top"/>
    </xf>
    <xf numFmtId="168" fontId="38" fillId="0" borderId="13" applyAlignment="1" pivotButton="0" quotePrefix="0" xfId="0">
      <alignment vertical="top"/>
    </xf>
    <xf numFmtId="164" fontId="38" fillId="0" borderId="13" applyAlignment="1" pivotButton="0" quotePrefix="0" xfId="0">
      <alignment horizontal="right" vertical="top"/>
    </xf>
    <xf numFmtId="168" fontId="38" fillId="0" borderId="0" applyAlignment="1" pivotButton="0" quotePrefix="0" xfId="0">
      <alignment horizontal="right" vertical="top"/>
    </xf>
    <xf numFmtId="168" fontId="38" fillId="0" borderId="13" applyAlignment="1" pivotButton="0" quotePrefix="0" xfId="0">
      <alignment horizontal="left" vertical="top"/>
    </xf>
    <xf numFmtId="168" fontId="38" fillId="0" borderId="13" applyAlignment="1" pivotButton="0" quotePrefix="0" xfId="0">
      <alignment horizontal="right" vertical="top"/>
    </xf>
    <xf numFmtId="168" fontId="9" fillId="0" borderId="0" applyAlignment="1" pivotButton="0" quotePrefix="0" xfId="0">
      <alignment vertical="center"/>
    </xf>
    <xf numFmtId="168" fontId="39" fillId="0" borderId="14" applyAlignment="1" pivotButton="0" quotePrefix="0" xfId="0">
      <alignment vertical="center"/>
    </xf>
    <xf numFmtId="0" fontId="16" fillId="0" borderId="15" pivotButton="0" quotePrefix="0" xfId="0"/>
    <xf numFmtId="164" fontId="40" fillId="0" borderId="16" applyAlignment="1" pivotButton="0" quotePrefix="0" xfId="0">
      <alignment horizontal="right" vertical="center"/>
    </xf>
    <xf numFmtId="164" fontId="40" fillId="0" borderId="0" applyAlignment="1" pivotButton="0" quotePrefix="0" xfId="0">
      <alignment horizontal="right" vertical="center"/>
    </xf>
    <xf numFmtId="168" fontId="9" fillId="0" borderId="0" applyAlignment="1" pivotButton="0" quotePrefix="0" xfId="0">
      <alignment horizontal="right" vertical="center"/>
    </xf>
    <xf numFmtId="168" fontId="39" fillId="0" borderId="17" applyAlignment="1" pivotButton="0" quotePrefix="0" xfId="0">
      <alignment vertical="center"/>
    </xf>
    <xf numFmtId="0" fontId="16" fillId="0" borderId="18" pivotButton="0" quotePrefix="0" xfId="0"/>
    <xf numFmtId="164" fontId="40" fillId="0" borderId="19" applyAlignment="1" pivotButton="0" quotePrefix="0" xfId="0">
      <alignment horizontal="right" vertical="center"/>
    </xf>
    <xf numFmtId="168" fontId="39" fillId="0" borderId="20" applyAlignment="1" pivotButton="0" quotePrefix="0" xfId="0">
      <alignment vertical="center"/>
    </xf>
    <xf numFmtId="0" fontId="16" fillId="0" borderId="21" pivotButton="0" quotePrefix="0" xfId="0"/>
    <xf numFmtId="164" fontId="40" fillId="0" borderId="22" applyAlignment="1" pivotButton="0" quotePrefix="0" xfId="0">
      <alignment horizontal="right" vertical="center"/>
    </xf>
    <xf numFmtId="164" fontId="41" fillId="0" borderId="0" applyAlignment="1" pivotButton="0" quotePrefix="0" xfId="0">
      <alignment horizontal="right" vertical="center"/>
    </xf>
    <xf numFmtId="168" fontId="39" fillId="0" borderId="20" applyAlignment="1" pivotButton="0" quotePrefix="0" xfId="0">
      <alignment vertical="center"/>
    </xf>
    <xf numFmtId="168" fontId="1" fillId="0" borderId="0" applyAlignment="1" pivotButton="0" quotePrefix="0" xfId="0">
      <alignment vertical="center"/>
    </xf>
    <xf numFmtId="168" fontId="1" fillId="0" borderId="0" applyAlignment="1" pivotButton="0" quotePrefix="0" xfId="0">
      <alignment horizontal="right" vertical="center"/>
    </xf>
    <xf numFmtId="164" fontId="40" fillId="0" borderId="22" applyAlignment="1" pivotButton="0" quotePrefix="0" xfId="0">
      <alignment vertical="center"/>
    </xf>
    <xf numFmtId="168" fontId="42" fillId="0" borderId="20" pivotButton="0" quotePrefix="0" xfId="0"/>
    <xf numFmtId="168" fontId="43" fillId="0" borderId="22" pivotButton="0" quotePrefix="0" xfId="0"/>
    <xf numFmtId="168" fontId="40" fillId="0" borderId="0" applyAlignment="1" pivotButton="0" quotePrefix="0" xfId="0">
      <alignment horizontal="right" vertical="center"/>
    </xf>
    <xf numFmtId="169" fontId="41" fillId="0" borderId="0" applyAlignment="1" pivotButton="0" quotePrefix="0" xfId="0">
      <alignment horizontal="right" vertical="center"/>
    </xf>
    <xf numFmtId="164" fontId="40" fillId="0" borderId="22" applyAlignment="1" pivotButton="0" quotePrefix="0" xfId="0">
      <alignment horizontal="right" vertical="center"/>
    </xf>
    <xf numFmtId="164" fontId="42" fillId="6" borderId="20" pivotButton="0" quotePrefix="0" xfId="0"/>
    <xf numFmtId="164" fontId="40" fillId="0" borderId="22" applyAlignment="1" pivotButton="0" quotePrefix="0" xfId="0">
      <alignment horizontal="right"/>
    </xf>
    <xf numFmtId="168" fontId="40" fillId="0" borderId="22" applyAlignment="1" pivotButton="0" quotePrefix="0" xfId="0">
      <alignment horizontal="right" vertical="center"/>
    </xf>
    <xf numFmtId="169" fontId="41" fillId="0" borderId="0" applyAlignment="1" pivotButton="0" quotePrefix="0" xfId="0">
      <alignment horizontal="right" vertical="center"/>
    </xf>
    <xf numFmtId="168" fontId="40" fillId="0" borderId="22" applyAlignment="1" pivotButton="0" quotePrefix="0" xfId="0">
      <alignment vertical="center"/>
    </xf>
    <xf numFmtId="0" fontId="44" fillId="2" borderId="0" applyAlignment="1" pivotButton="0" quotePrefix="0" xfId="0">
      <alignment vertical="center"/>
    </xf>
    <xf numFmtId="0" fontId="10" fillId="0" borderId="0" applyAlignment="1" pivotButton="0" quotePrefix="0" xfId="0">
      <alignment vertical="bottom"/>
    </xf>
    <xf numFmtId="0" fontId="32" fillId="0" borderId="0" applyAlignment="1" pivotButton="0" quotePrefix="0" xfId="0">
      <alignment horizontal="left" vertical="bottom"/>
    </xf>
    <xf numFmtId="0" fontId="45" fillId="0" borderId="0" applyAlignment="1" pivotButton="0" quotePrefix="0" xfId="0">
      <alignment vertical="bottom"/>
    </xf>
    <xf numFmtId="0" fontId="1" fillId="0" borderId="23" applyAlignment="1" pivotButton="0" quotePrefix="0" xfId="0">
      <alignment vertical="bottom"/>
    </xf>
    <xf numFmtId="0" fontId="34" fillId="0" borderId="0" applyAlignment="1" pivotButton="0" quotePrefix="0" xfId="0">
      <alignment horizontal="left" vertical="center"/>
    </xf>
    <xf numFmtId="164" fontId="34" fillId="0" borderId="0" applyAlignment="1" pivotButton="0" quotePrefix="0" xfId="0">
      <alignment horizontal="left" vertical="center"/>
    </xf>
    <xf numFmtId="170" fontId="41" fillId="0" borderId="24" applyAlignment="1" pivotButton="0" quotePrefix="0" xfId="0">
      <alignment horizontal="left" vertical="center"/>
    </xf>
    <xf numFmtId="164" fontId="26" fillId="0" borderId="24" applyAlignment="1" pivotButton="0" quotePrefix="0" xfId="0">
      <alignment horizontal="left" vertical="center"/>
    </xf>
    <xf numFmtId="0" fontId="46" fillId="0" borderId="24" applyAlignment="1" pivotButton="0" quotePrefix="0" xfId="0">
      <alignment horizontal="left" vertical="center"/>
    </xf>
    <xf numFmtId="0" fontId="41" fillId="0" borderId="24" applyAlignment="1" pivotButton="0" quotePrefix="0" xfId="0">
      <alignment horizontal="left" vertical="center"/>
    </xf>
    <xf numFmtId="0" fontId="25" fillId="0" borderId="24" applyAlignment="1" pivotButton="0" quotePrefix="0" xfId="0">
      <alignment horizontal="left" vertical="center"/>
    </xf>
    <xf numFmtId="170" fontId="41" fillId="0" borderId="25" applyAlignment="1" pivotButton="0" quotePrefix="0" xfId="0">
      <alignment horizontal="left" vertical="center"/>
    </xf>
    <xf numFmtId="164" fontId="26" fillId="0" borderId="25" applyAlignment="1" pivotButton="0" quotePrefix="0" xfId="0">
      <alignment horizontal="left" vertical="center"/>
    </xf>
    <xf numFmtId="0" fontId="46" fillId="0" borderId="25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25" fillId="0" borderId="25" applyAlignment="1" pivotButton="0" quotePrefix="0" xfId="0">
      <alignment horizontal="left" vertical="center"/>
    </xf>
    <xf numFmtId="0" fontId="41" fillId="0" borderId="25" applyAlignment="1" pivotButton="0" quotePrefix="0" xfId="0">
      <alignment horizontal="left" vertical="center"/>
    </xf>
    <xf numFmtId="0" fontId="25" fillId="0" borderId="25" applyAlignment="1" pivotButton="0" quotePrefix="0" xfId="0">
      <alignment horizontal="left" vertical="center"/>
    </xf>
    <xf numFmtId="170" fontId="41" fillId="0" borderId="25" applyAlignment="1" pivotButton="0" quotePrefix="0" xfId="0">
      <alignment horizontal="left" vertical="center"/>
    </xf>
    <xf numFmtId="164" fontId="26" fillId="0" borderId="25" applyAlignment="1" pivotButton="0" quotePrefix="0" xfId="0">
      <alignment horizontal="left" vertical="center"/>
    </xf>
    <xf numFmtId="0" fontId="46" fillId="0" borderId="25" applyAlignment="1" pivotButton="0" quotePrefix="0" xfId="0">
      <alignment horizontal="left" vertical="center"/>
    </xf>
    <xf numFmtId="14" fontId="41" fillId="0" borderId="26" applyAlignment="1" pivotButton="0" quotePrefix="0" xfId="0">
      <alignment horizontal="left" vertical="center"/>
    </xf>
    <xf numFmtId="164" fontId="26" fillId="0" borderId="26" applyAlignment="1" pivotButton="0" quotePrefix="0" xfId="0">
      <alignment horizontal="left" vertical="center"/>
    </xf>
    <xf numFmtId="0" fontId="46" fillId="0" borderId="26" applyAlignment="1" pivotButton="0" quotePrefix="0" xfId="0">
      <alignment horizontal="left" vertical="center"/>
    </xf>
    <xf numFmtId="0" fontId="41" fillId="0" borderId="26" applyAlignment="1" pivotButton="0" quotePrefix="0" xfId="0">
      <alignment horizontal="left" vertical="center"/>
    </xf>
    <xf numFmtId="171" fontId="26" fillId="0" borderId="26" applyAlignment="1" pivotButton="0" quotePrefix="0" xfId="0">
      <alignment horizontal="left" vertical="center"/>
    </xf>
    <xf numFmtId="0" fontId="25" fillId="0" borderId="26" applyAlignment="1" pivotButton="0" quotePrefix="0" xfId="0">
      <alignment horizontal="left" vertical="center"/>
    </xf>
    <xf numFmtId="0" fontId="0" fillId="0" borderId="0" pivotButton="0" quotePrefix="0" xfId="0"/>
    <xf numFmtId="0" fontId="0" fillId="0" borderId="4" pivotButton="0" quotePrefix="0" xfId="0"/>
    <xf numFmtId="0" fontId="0" fillId="0" borderId="7" pivotButton="0" quotePrefix="0" xfId="0"/>
    <xf numFmtId="168" fontId="39" fillId="0" borderId="16" applyAlignment="1" pivotButton="0" quotePrefix="0" xfId="0">
      <alignment vertical="center"/>
    </xf>
    <xf numFmtId="0" fontId="0" fillId="0" borderId="15" pivotButton="0" quotePrefix="0" xfId="0"/>
    <xf numFmtId="168" fontId="39" fillId="0" borderId="19" applyAlignment="1" pivotButton="0" quotePrefix="0" xfId="0">
      <alignment vertical="center"/>
    </xf>
    <xf numFmtId="0" fontId="0" fillId="0" borderId="18" pivotButton="0" quotePrefix="0" xfId="0"/>
    <xf numFmtId="168" fontId="39" fillId="0" borderId="22" applyAlignment="1" pivotButton="0" quotePrefix="0" xfId="0">
      <alignment vertical="center"/>
    </xf>
    <xf numFmtId="0" fontId="0" fillId="0" borderId="21" pivotButton="0" quotePrefix="0" xfId="0"/>
    <xf numFmtId="168" fontId="42" fillId="0" borderId="22" pivotButton="0" quotePrefix="0" xfId="0"/>
    <xf numFmtId="168" fontId="39" fillId="0" borderId="22" pivotButton="0" quotePrefix="0" xfId="0"/>
    <xf numFmtId="164" fontId="43" fillId="0" borderId="22" pivotButton="0" quotePrefix="0" xfId="0"/>
  </cellXfs>
  <cellStyles count="1">
    <cellStyle name="Normal" xfId="0" builtinId="0"/>
  </cellStyles>
  <dxfs count="3">
    <dxf>
      <font/>
      <fill>
        <patternFill patternType="solid">
          <fgColor rgb="FFFCECE6"/>
          <bgColor rgb="FFFCECE6"/>
        </patternFill>
      </fill>
      <border/>
    </dxf>
    <dxf>
      <font>
        <color rgb="FFC53929"/>
      </font>
      <fill>
        <patternFill/>
      </fill>
      <border/>
    </dxf>
    <dxf>
      <font>
        <color rgb="FF687887"/>
      </font>
      <fill>
        <patternFill/>
      </fill>
      <border/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M45"/>
  <sheetViews>
    <sheetView showGridLines="0" workbookViewId="0">
      <selection activeCell="A1" sqref="A1"/>
    </sheetView>
  </sheetViews>
  <sheetFormatPr baseColWidth="8" defaultColWidth="12.63" defaultRowHeight="15.75" customHeight="1"/>
  <cols>
    <col width="6.13" customWidth="1" style="149" min="1" max="1"/>
    <col width="8.880000000000001" customWidth="1" style="149" min="2" max="12"/>
    <col width="6.13" customWidth="1" style="149" min="13" max="13"/>
  </cols>
  <sheetData>
    <row r="1" ht="12" customHeight="1" s="149">
      <c r="A1" s="1" t="n"/>
      <c r="B1" s="1" t="n"/>
      <c r="C1" s="1" t="n"/>
      <c r="D1" s="1" t="n"/>
      <c r="E1" s="1" t="n"/>
      <c r="F1" s="1" t="n"/>
      <c r="G1" s="2" t="n"/>
      <c r="H1" s="1" t="n"/>
      <c r="I1" s="1" t="n"/>
      <c r="J1" s="1" t="n"/>
      <c r="K1" s="1" t="n"/>
      <c r="L1" s="1" t="n"/>
      <c r="M1" s="1" t="n"/>
    </row>
    <row r="2" ht="21" customHeight="1" s="149">
      <c r="A2" s="3" t="n"/>
      <c r="B2" s="4" t="inlineStr">
        <is>
          <t>GET STARTED</t>
        </is>
      </c>
      <c r="I2" s="5" t="inlineStr">
        <is>
          <t>NOTE</t>
        </is>
      </c>
      <c r="M2" s="3" t="n"/>
    </row>
    <row r="3" ht="16.5" customHeight="1" s="149">
      <c r="A3" s="6" t="n"/>
      <c r="B3" s="7" t="inlineStr">
        <is>
          <t>Set your starting balance in cell L8, then customize your categories and planned spending amounts in the 'Income' and 'Expenses' tables below.</t>
        </is>
      </c>
      <c r="H3" s="7" t="n"/>
      <c r="I3" s="8" t="inlineStr">
        <is>
          <t>Only edit highlighted cells.</t>
        </is>
      </c>
      <c r="M3" s="9" t="n"/>
    </row>
    <row r="4" ht="10.5" customHeight="1" s="149">
      <c r="A4" s="6" t="n"/>
      <c r="H4" s="7" t="n"/>
      <c r="I4" s="10" t="inlineStr">
        <is>
          <t xml:space="preserve">Try not to alter cells that contain a formula. </t>
        </is>
      </c>
    </row>
    <row r="5">
      <c r="A5" s="6" t="n"/>
      <c r="B5" s="7" t="inlineStr">
        <is>
          <t>As you enter data in the 'Transactions' tab, this sheet will automatically update to show a summary of your spending for the month.</t>
        </is>
      </c>
      <c r="H5" s="7" t="n"/>
    </row>
    <row r="6" ht="23.25" customHeight="1" s="149">
      <c r="A6" s="11" t="n"/>
      <c r="H6" s="12" t="n"/>
      <c r="I6" s="13" t="n"/>
      <c r="J6" s="13" t="n"/>
      <c r="K6" s="13" t="n"/>
      <c r="L6" s="13" t="n"/>
      <c r="M6" s="13" t="n"/>
    </row>
    <row r="7" ht="30" customHeight="1" s="149">
      <c r="A7" s="14" t="n"/>
      <c r="B7" s="58" t="n"/>
      <c r="C7" s="58" t="n"/>
      <c r="D7" s="58" t="n"/>
      <c r="E7" s="16" t="n"/>
      <c r="F7" s="17" t="n"/>
      <c r="G7" s="18" t="n"/>
      <c r="H7" s="17" t="n"/>
      <c r="I7" s="17" t="n"/>
      <c r="J7" s="17" t="n"/>
      <c r="K7" s="17" t="n"/>
      <c r="L7" s="17" t="n"/>
      <c r="M7" s="17" t="n"/>
    </row>
    <row r="8" ht="18" customHeight="1" s="149">
      <c r="A8" s="19" t="n"/>
      <c r="B8" s="20" t="inlineStr">
        <is>
          <t>Monthly Budget</t>
        </is>
      </c>
      <c r="F8" s="17" t="n"/>
      <c r="G8" s="21" t="n"/>
      <c r="H8" s="17" t="n"/>
      <c r="I8" s="22" t="n"/>
      <c r="J8" s="23" t="inlineStr">
        <is>
          <t xml:space="preserve">Starting balance: </t>
        </is>
      </c>
      <c r="L8" s="24" t="n">
        <v>0</v>
      </c>
      <c r="M8" s="17" t="n"/>
    </row>
    <row r="9" ht="18" customHeight="1" s="149">
      <c r="A9" s="19" t="n"/>
      <c r="F9" s="17" t="n"/>
      <c r="G9" s="21" t="n"/>
      <c r="H9" s="17" t="n"/>
      <c r="I9" s="25" t="n"/>
      <c r="J9" s="17" t="n"/>
      <c r="K9" s="17" t="n"/>
      <c r="L9" s="21" t="n"/>
      <c r="M9" s="17" t="n"/>
    </row>
    <row r="10" ht="18" customHeight="1" s="149">
      <c r="A10" s="17" t="n"/>
      <c r="B10" s="26" t="n"/>
      <c r="C10" s="26" t="n"/>
      <c r="D10" s="26" t="n"/>
      <c r="E10" s="26" t="n"/>
      <c r="F10" s="17" t="n"/>
      <c r="G10" s="21" t="n"/>
      <c r="H10" s="17" t="n"/>
      <c r="I10" s="25" t="n"/>
      <c r="J10" s="17" t="n"/>
      <c r="K10" s="17" t="n"/>
      <c r="L10" s="21" t="n"/>
      <c r="M10" s="17" t="n"/>
    </row>
    <row r="11" ht="12" customHeight="1" s="149">
      <c r="A11" s="14" t="n"/>
      <c r="B11" s="27" t="n"/>
      <c r="C11" s="27" t="n"/>
      <c r="D11" s="28" t="n"/>
      <c r="E11" s="14" t="n"/>
      <c r="F11" s="14" t="n"/>
      <c r="G11" s="22" t="n"/>
      <c r="H11" s="29" t="n"/>
      <c r="I11" s="30" t="n"/>
      <c r="J11" s="30" t="n"/>
      <c r="K11" s="30" t="n"/>
      <c r="L11" s="31" t="n"/>
      <c r="M11" s="14" t="n"/>
    </row>
    <row r="12" ht="18" customHeight="1" s="149">
      <c r="A12" s="22" t="n"/>
      <c r="B12" s="14" t="n"/>
      <c r="C12" s="22" t="n"/>
      <c r="D12" s="32">
        <f>IFERROR(__xludf.DUMMYFUNCTION("SPARKLINE(D17,{""charttype"",""column"";""ymin"", 0; ""ymax"",MAX(D17:E17);""firstcolor"",""#334960""})"),"")</f>
        <v/>
      </c>
      <c r="E12" s="14">
        <f>IFERROR(__xludf.DUMMYFUNCTION("SPARKLINE(E17,{""charttype"",""column"";""ymin"", 0; ""ymax"",max(D17:E17);""firstcolor"",""#f46524""})"),"")</f>
        <v/>
      </c>
      <c r="F12" s="14" t="n"/>
      <c r="G12" s="14" t="n"/>
      <c r="H12" s="33" t="n"/>
      <c r="I12" s="34" t="n"/>
      <c r="J12" s="34" t="n"/>
      <c r="K12" s="34" t="n"/>
      <c r="L12" s="35" t="n"/>
      <c r="M12" s="22" t="n"/>
    </row>
    <row r="13" ht="18" customHeight="1" s="149">
      <c r="A13" s="22" t="n"/>
      <c r="B13" s="14" t="n"/>
      <c r="C13" s="36" t="n"/>
      <c r="D13" s="150" t="n"/>
      <c r="F13" s="14" t="n"/>
      <c r="G13" s="14" t="n"/>
      <c r="H13" s="33" t="n"/>
      <c r="I13" s="38">
        <f>iferror(E17/D17-1, "")</f>
        <v/>
      </c>
      <c r="L13" s="35" t="n"/>
      <c r="M13" s="39" t="n"/>
    </row>
    <row r="14" ht="24" customHeight="1" s="149">
      <c r="A14" s="14" t="n"/>
      <c r="B14" s="14" t="n"/>
      <c r="C14" s="36" t="n"/>
      <c r="D14" s="150" t="n"/>
      <c r="F14" s="14" t="n"/>
      <c r="G14" s="14" t="n"/>
      <c r="H14" s="33" t="n"/>
      <c r="I14" s="40">
        <f>if(I13 &lt; 0, "Decrease in total savings", "Increase in total savings")</f>
        <v/>
      </c>
      <c r="J14" s="151" t="n"/>
      <c r="K14" s="151" t="n"/>
      <c r="L14" s="35" t="n"/>
      <c r="M14" s="42" t="n"/>
    </row>
    <row r="15" ht="39.75" customHeight="1" s="149">
      <c r="A15" s="14" t="n"/>
      <c r="B15" s="14" t="n"/>
      <c r="C15" s="36" t="n"/>
      <c r="D15" s="150" t="n"/>
      <c r="F15" s="14" t="n"/>
      <c r="G15" s="36" t="n"/>
      <c r="H15" s="33" t="n"/>
      <c r="I15" s="43">
        <f>iferror(E17-D17, 0)</f>
        <v/>
      </c>
      <c r="L15" s="44" t="n"/>
      <c r="M15" s="42" t="n"/>
    </row>
    <row r="16" ht="18" customHeight="1" s="149">
      <c r="A16" s="14" t="n"/>
      <c r="B16" s="27" t="n"/>
      <c r="C16" s="45" t="n"/>
      <c r="D16" s="46" t="inlineStr">
        <is>
          <t xml:space="preserve">START BALANCE </t>
        </is>
      </c>
      <c r="E16" s="47" t="inlineStr">
        <is>
          <t xml:space="preserve"> END BALANCE</t>
        </is>
      </c>
      <c r="F16" s="45" t="n"/>
      <c r="G16" s="48" t="n"/>
      <c r="H16" s="33" t="n"/>
      <c r="I16" s="49">
        <f>if(J15&lt;0, "Spent this month", "Saved this month")</f>
        <v/>
      </c>
      <c r="L16" s="35" t="n"/>
      <c r="M16" s="50" t="n"/>
    </row>
    <row r="17" ht="18" customHeight="1" s="149">
      <c r="A17" s="22" t="n"/>
      <c r="B17" s="14" t="n"/>
      <c r="C17" s="22" t="n"/>
      <c r="D17" s="51">
        <f>if(isblank(L8),0,L8)</f>
        <v/>
      </c>
      <c r="E17" s="52">
        <f>D17+(I22-C22)</f>
        <v/>
      </c>
      <c r="F17" s="22" t="n"/>
      <c r="G17" s="36" t="n"/>
      <c r="H17" s="33" t="n"/>
      <c r="I17" s="34" t="n"/>
      <c r="L17" s="35" t="n"/>
      <c r="M17" s="22" t="n"/>
    </row>
    <row r="18" ht="12" customHeight="1" s="149">
      <c r="A18" s="22" t="n"/>
      <c r="B18" s="53" t="n"/>
      <c r="C18" s="53" t="n"/>
      <c r="D18" s="53" t="n"/>
      <c r="E18" s="53" t="n"/>
      <c r="F18" s="53" t="n"/>
      <c r="G18" s="22" t="n"/>
      <c r="H18" s="54" t="n"/>
      <c r="I18" s="55" t="n"/>
      <c r="J18" s="56" t="n"/>
      <c r="K18" s="55" t="n"/>
      <c r="L18" s="57" t="n"/>
      <c r="M18" s="22" t="n"/>
    </row>
    <row r="19" ht="24" customHeight="1" s="149">
      <c r="A19" s="22" t="n"/>
      <c r="B19" s="53" t="n"/>
      <c r="C19" s="53" t="n"/>
      <c r="D19" s="53" t="n"/>
      <c r="E19" s="53" t="n"/>
      <c r="F19" s="53" t="n"/>
      <c r="G19" s="22" t="n"/>
      <c r="H19" s="22" t="n"/>
      <c r="I19" s="22" t="n"/>
      <c r="J19" s="58" t="n"/>
      <c r="K19" s="22" t="n"/>
      <c r="L19" s="22" t="n"/>
      <c r="M19" s="22" t="n"/>
    </row>
    <row r="20" ht="24" customHeight="1" s="149">
      <c r="A20" s="59" t="n"/>
      <c r="B20" s="60" t="inlineStr">
        <is>
          <t>Expenses</t>
        </is>
      </c>
      <c r="G20" s="59" t="n"/>
      <c r="H20" s="60" t="inlineStr">
        <is>
          <t>Income</t>
        </is>
      </c>
      <c r="I20" s="60" t="n"/>
      <c r="J20" s="61" t="n"/>
      <c r="K20" s="59" t="n"/>
      <c r="L20" s="59" t="n"/>
      <c r="M20" s="59" t="n"/>
    </row>
    <row r="21" ht="19.5" customHeight="1" s="149">
      <c r="A21" s="62" t="n"/>
      <c r="B21" s="63" t="inlineStr">
        <is>
          <t>Planned</t>
        </is>
      </c>
      <c r="C21" s="64">
        <f>D26</f>
        <v/>
      </c>
      <c r="D21" s="65">
        <f>IFERROR(__xludf.DUMMYFUNCTION("SPARKLINE(C21,{""charttype"",""bar"";""max"",max(C21:C22);""color1"",""#AEB7C0""})"),"")</f>
        <v/>
      </c>
      <c r="G21" s="62" t="n"/>
      <c r="H21" s="63" t="inlineStr">
        <is>
          <t>Planned</t>
        </is>
      </c>
      <c r="I21" s="64">
        <f>J26</f>
        <v/>
      </c>
      <c r="J21" s="65">
        <f>IFERROR(__xludf.DUMMYFUNCTION("SPARKLINE(I21,{""charttype"",""bar"";""max"",max(I21:I22);""color1"",""#AEB7C0""})"),"")</f>
        <v/>
      </c>
      <c r="M21" s="62" t="n"/>
    </row>
    <row r="22" ht="19.5" customHeight="1" s="149">
      <c r="A22" s="66" t="n"/>
      <c r="B22" s="67" t="inlineStr">
        <is>
          <t>Actual</t>
        </is>
      </c>
      <c r="C22" s="68">
        <f>E26</f>
        <v/>
      </c>
      <c r="D22" s="69">
        <f>IFERROR(__xludf.DUMMYFUNCTION("SPARKLINE(C22,{""charttype"",""bar"";""max"",max(C21:C22);""color1"",""#334960""})"),"")</f>
        <v/>
      </c>
      <c r="G22" s="53" t="n"/>
      <c r="H22" s="67" t="inlineStr">
        <is>
          <t>Actual</t>
        </is>
      </c>
      <c r="I22" s="68">
        <f>K26</f>
        <v/>
      </c>
      <c r="J22" s="69">
        <f>IFERROR(__xludf.DUMMYFUNCTION("SPARKLINE(I22,{""charttype"",""bar"";""max"",max(I21:I22);""color1"",""#334960""})"),"")</f>
        <v/>
      </c>
      <c r="M22" s="66" t="n"/>
    </row>
    <row r="23" ht="30" customHeight="1" s="149">
      <c r="A23" s="14" t="n"/>
      <c r="B23" s="70" t="n"/>
      <c r="C23" s="71" t="n"/>
      <c r="D23" s="72" t="n"/>
      <c r="G23" s="14" t="n"/>
      <c r="H23" s="70" t="n"/>
      <c r="I23" s="71" t="n"/>
      <c r="J23" s="72" t="n"/>
      <c r="M23" s="66" t="n"/>
    </row>
    <row r="24" ht="29.25" customHeight="1" s="149">
      <c r="A24" s="73" t="n"/>
      <c r="B24" s="74" t="inlineStr">
        <is>
          <t>Expenses</t>
        </is>
      </c>
      <c r="D24" s="75" t="n"/>
      <c r="E24" s="75" t="n"/>
      <c r="F24" s="75" t="n"/>
      <c r="G24" s="76" t="n"/>
      <c r="H24" s="77" t="inlineStr">
        <is>
          <t>Income</t>
        </is>
      </c>
      <c r="I24" s="78" t="n"/>
      <c r="J24" s="75" t="n"/>
      <c r="K24" s="75" t="n"/>
      <c r="L24" s="75" t="n"/>
      <c r="M24" s="73" t="n"/>
    </row>
    <row r="25" ht="19.5" customHeight="1" s="149">
      <c r="A25" s="79" t="n"/>
      <c r="B25" s="80" t="n"/>
      <c r="C25" s="81" t="n"/>
      <c r="D25" s="83" t="inlineStr">
        <is>
          <t>Planned</t>
        </is>
      </c>
      <c r="E25" s="83" t="inlineStr">
        <is>
          <t>Actual</t>
        </is>
      </c>
      <c r="F25" s="83" t="inlineStr">
        <is>
          <t>Diff.</t>
        </is>
      </c>
      <c r="G25" s="84" t="n"/>
      <c r="H25" s="85" t="n"/>
      <c r="I25" s="86" t="n"/>
      <c r="J25" s="83" t="inlineStr">
        <is>
          <t>Planned</t>
        </is>
      </c>
      <c r="K25" s="83" t="inlineStr">
        <is>
          <t>Actual</t>
        </is>
      </c>
      <c r="L25" s="83" t="inlineStr">
        <is>
          <t>Diff.</t>
        </is>
      </c>
      <c r="M25" s="79" t="n"/>
    </row>
    <row r="26" ht="17.25" customHeight="1" s="149">
      <c r="A26" s="87" t="n"/>
      <c r="B26" s="89" t="inlineStr">
        <is>
          <t>Totals</t>
        </is>
      </c>
      <c r="C26" s="89" t="n"/>
      <c r="D26" s="90">
        <f>sum(D27:D45)</f>
        <v/>
      </c>
      <c r="E26" s="90">
        <f>sum(E27:E45)</f>
        <v/>
      </c>
      <c r="F26" s="90">
        <f>sum(F27:F45)</f>
        <v/>
      </c>
      <c r="G26" s="91" t="n"/>
      <c r="H26" s="92" t="inlineStr">
        <is>
          <t>Totals</t>
        </is>
      </c>
      <c r="I26" s="93" t="n"/>
      <c r="J26" s="90">
        <f>sum(J27:J45)</f>
        <v/>
      </c>
      <c r="K26" s="90">
        <f>sum(K27:K45)</f>
        <v/>
      </c>
      <c r="L26" s="90">
        <f>sum(L27:L45)</f>
        <v/>
      </c>
      <c r="M26" s="87" t="n"/>
    </row>
    <row r="27" hidden="1" ht="18" customHeight="1" s="149">
      <c r="A27" s="94" t="n"/>
      <c r="B27" s="152" t="n"/>
      <c r="C27" s="153" t="n"/>
      <c r="D27" s="97" t="n"/>
      <c r="E27" s="98">
        <f>if(isblank($B27), "", sumif(Transactions!$E:$E,$B27,Transactions!$C:$C))</f>
        <v/>
      </c>
      <c r="F27" s="98">
        <f>if(isblank($B27), "", D27-E27)</f>
        <v/>
      </c>
      <c r="G27" s="99" t="n"/>
      <c r="H27" s="154" t="n"/>
      <c r="I27" s="155" t="n"/>
      <c r="J27" s="102" t="n"/>
      <c r="K27" s="98">
        <f>if(isblank($H27), "", sumif(Transactions!$J:$J,$H27,Transactions!$H:$H))</f>
        <v/>
      </c>
      <c r="L27" s="98">
        <f>if(isblank($H27), "", K27-J27)</f>
        <v/>
      </c>
      <c r="M27" s="94" t="n"/>
    </row>
    <row r="28" ht="18" customHeight="1" s="149">
      <c r="A28" s="94" t="n"/>
      <c r="B28" s="156" t="inlineStr">
        <is>
          <t>Groceries</t>
        </is>
      </c>
      <c r="C28" s="157" t="n"/>
      <c r="D28" s="115" t="n">
        <v>0</v>
      </c>
      <c r="E28" s="98">
        <f>if(isblank($B28), "", sumif(Transactions!$E:$E,$B28,Transactions!$C:$C))</f>
        <v/>
      </c>
      <c r="F28" s="106">
        <f>if(isblank($B28), "", D28-E28)</f>
        <v/>
      </c>
      <c r="G28" s="99" t="n"/>
      <c r="H28" s="156" t="inlineStr">
        <is>
          <t>Savings</t>
        </is>
      </c>
      <c r="I28" s="157" t="n"/>
      <c r="J28" s="115" t="n">
        <v>0</v>
      </c>
      <c r="K28" s="98">
        <f>if(isblank($H28), "", sumif(Transactions!$J:$J,$H28,Transactions!$H:$H))</f>
        <v/>
      </c>
      <c r="L28" s="106">
        <f>if(isblank($H28), "", K28-J28)</f>
        <v/>
      </c>
      <c r="M28" s="94" t="n"/>
    </row>
    <row r="29" ht="18" customHeight="1" s="149">
      <c r="A29" s="94" t="n"/>
      <c r="B29" s="156" t="inlineStr">
        <is>
          <t>Fast food &amp; Restaurant</t>
        </is>
      </c>
      <c r="C29" s="157" t="n"/>
      <c r="D29" s="115" t="n">
        <v>0</v>
      </c>
      <c r="E29" s="98">
        <f>if(isblank($B29), "", sumif(Transactions!$E:$E,$B29,Transactions!$C:$C))</f>
        <v/>
      </c>
      <c r="F29" s="106">
        <f>if(isblank($B29), "", D29-E29)</f>
        <v/>
      </c>
      <c r="G29" s="99" t="n"/>
      <c r="H29" s="156" t="inlineStr">
        <is>
          <t>Disability Support Pension</t>
        </is>
      </c>
      <c r="I29" s="157" t="n"/>
      <c r="J29" s="115" t="n">
        <v>0</v>
      </c>
      <c r="K29" s="98">
        <f>if(isblank($H29), "", sumif(Transactions!$J:$J,$H29,Transactions!$H:$H))</f>
        <v/>
      </c>
      <c r="L29" s="106">
        <f>if(isblank($H29), "", K29-J29)</f>
        <v/>
      </c>
      <c r="M29" s="94" t="n"/>
    </row>
    <row r="30" ht="18" customHeight="1" s="149">
      <c r="A30" s="108" t="n"/>
      <c r="B30" s="156" t="inlineStr">
        <is>
          <t>Medicine (Webster)</t>
        </is>
      </c>
      <c r="C30" s="157" t="n"/>
      <c r="D30" s="115" t="n">
        <v>0</v>
      </c>
      <c r="E30" s="98">
        <f>if(isblank($B30), "", sumif(Transactions!$E:$E,$B30,Transactions!$C:$C))</f>
        <v/>
      </c>
      <c r="F30" s="106">
        <f>if(isblank($B30), "", D30-E30)</f>
        <v/>
      </c>
      <c r="G30" s="109" t="n"/>
      <c r="H30" s="156" t="inlineStr">
        <is>
          <t>Bonus</t>
        </is>
      </c>
      <c r="I30" s="157" t="n"/>
      <c r="J30" s="115" t="n">
        <v>0</v>
      </c>
      <c r="K30" s="98">
        <f>if(isblank($H30), "", sumif(Transactions!$J:$J,$H30,Transactions!$H:$H))</f>
        <v/>
      </c>
      <c r="L30" s="106">
        <f>if(isblank($H30), "", K30-J30)</f>
        <v/>
      </c>
      <c r="M30" s="108" t="n"/>
    </row>
    <row r="31" ht="18" customHeight="1" s="149">
      <c r="A31" s="108" t="n"/>
      <c r="B31" s="156" t="inlineStr">
        <is>
          <t>Medicine (PRN &amp; Oil)</t>
        </is>
      </c>
      <c r="C31" s="157" t="n"/>
      <c r="D31" s="115" t="n">
        <v>0</v>
      </c>
      <c r="E31" s="98">
        <f>if(isblank($B31), "", sumif(Transactions!$E:$E,$B31,Transactions!$C:$C))</f>
        <v/>
      </c>
      <c r="F31" s="106">
        <f>if(isblank($B31), "", D31-E31)</f>
        <v/>
      </c>
      <c r="G31" s="109" t="n"/>
      <c r="H31" s="156" t="inlineStr">
        <is>
          <t>Interest</t>
        </is>
      </c>
      <c r="I31" s="157" t="n"/>
      <c r="J31" s="115" t="n">
        <v>0</v>
      </c>
      <c r="K31" s="98">
        <f>if(isblank($H31), "", sumif(Transactions!$J:$J,$H31,Transactions!$H:$H))</f>
        <v/>
      </c>
      <c r="L31" s="106">
        <f>if(isblank($H31), "", K31-J31)</f>
        <v/>
      </c>
      <c r="M31" s="108" t="n"/>
    </row>
    <row r="32" ht="18" customHeight="1" s="149">
      <c r="A32" s="108" t="n"/>
      <c r="B32" s="156" t="inlineStr">
        <is>
          <t>Rent</t>
        </is>
      </c>
      <c r="C32" s="157" t="n"/>
      <c r="D32" s="115" t="n">
        <v>0</v>
      </c>
      <c r="E32" s="98">
        <f>if(isblank($B32), "", sumif(Transactions!$E:$E,$B32,Transactions!$C:$C))</f>
        <v/>
      </c>
      <c r="F32" s="106">
        <f>if(isblank($B32), "", D32-E32)</f>
        <v/>
      </c>
      <c r="G32" s="109" t="n"/>
      <c r="H32" s="156" t="inlineStr">
        <is>
          <t>Other</t>
        </is>
      </c>
      <c r="I32" s="157" t="n"/>
      <c r="J32" s="115" t="n">
        <v>0</v>
      </c>
      <c r="K32" s="98">
        <f>if(isblank($H32), "", sumif(Transactions!$J:$J,$H32,Transactions!$H:$H))</f>
        <v/>
      </c>
      <c r="L32" s="106">
        <f>if(isblank($H32), "", K32-J32)</f>
        <v/>
      </c>
      <c r="M32" s="108" t="n"/>
    </row>
    <row r="33" ht="18" customHeight="1" s="149">
      <c r="A33" s="108" t="n"/>
      <c r="B33" s="156" t="inlineStr">
        <is>
          <t>Personal Cashout</t>
        </is>
      </c>
      <c r="C33" s="157" t="n"/>
      <c r="D33" s="115" t="n">
        <v>0</v>
      </c>
      <c r="E33" s="98">
        <f>if(isblank($B33), "", sumif(Transactions!$E:$E,$B33,Transactions!$C:$C))</f>
        <v/>
      </c>
      <c r="F33" s="106">
        <f>if(isblank($B33), "", D33-E33)</f>
        <v/>
      </c>
      <c r="G33" s="109" t="n"/>
      <c r="H33" s="156" t="inlineStr">
        <is>
          <t xml:space="preserve">Custom category </t>
        </is>
      </c>
      <c r="I33" s="157" t="n"/>
      <c r="J33" s="110" t="n">
        <v>0</v>
      </c>
      <c r="K33" s="98">
        <f>if(isblank($H33), "", sumif(Transactions!$J:$J,$H33,Transactions!$H:$H))</f>
        <v/>
      </c>
      <c r="L33" s="106">
        <f>if(isblank($H33), "", K33-J33)</f>
        <v/>
      </c>
      <c r="M33" s="108" t="n"/>
    </row>
    <row r="34" ht="18" customHeight="1" s="149">
      <c r="A34" s="108" t="n"/>
      <c r="B34" s="156" t="inlineStr">
        <is>
          <t>Car &amp; Petrol</t>
        </is>
      </c>
      <c r="C34" s="157" t="n"/>
      <c r="D34" s="115" t="n">
        <v>0</v>
      </c>
      <c r="E34" s="98">
        <f>if(isblank($B34), "", sumif(Transactions!$E:$E,$B34,Transactions!$C:$C))</f>
        <v/>
      </c>
      <c r="F34" s="106">
        <f>if(isblank($B34), "", D34-E34)</f>
        <v/>
      </c>
      <c r="G34" s="109" t="n"/>
      <c r="H34" s="158" t="n"/>
      <c r="I34" s="157" t="n"/>
      <c r="J34" s="112" t="n"/>
      <c r="K34" s="113">
        <f>if(isblank($H34), "", sumif(Transactions!$J:$J,$H34,Transactions!$H:$H))</f>
        <v/>
      </c>
      <c r="L34" s="119">
        <f>if(isblank($H34), "", K34-J34)</f>
        <v/>
      </c>
      <c r="M34" s="108" t="n"/>
    </row>
    <row r="35" ht="18" customHeight="1" s="149">
      <c r="A35" s="108" t="n"/>
      <c r="B35" s="156" t="inlineStr">
        <is>
          <t>Gifts  &amp; Outing</t>
        </is>
      </c>
      <c r="C35" s="157" t="n"/>
      <c r="D35" s="115" t="n">
        <v>0</v>
      </c>
      <c r="E35" s="98">
        <f>if(isblank($B35), "", sumif(Transactions!$E:$E,$B35,Transactions!$C:$C))</f>
        <v/>
      </c>
      <c r="F35" s="106">
        <f>if(isblank($B35), "", D35-E35)</f>
        <v/>
      </c>
      <c r="G35" s="109" t="n"/>
      <c r="H35" s="158" t="n"/>
      <c r="I35" s="157" t="n"/>
      <c r="J35" s="112" t="n"/>
      <c r="K35" s="113">
        <f>if(isblank($H35), "", sumif(Transactions!$J:$J,$H35,Transactions!$H:$H))</f>
        <v/>
      </c>
      <c r="L35" s="119">
        <f>if(isblank($H35), "", K35-J35)</f>
        <v/>
      </c>
      <c r="M35" s="108" t="n"/>
    </row>
    <row r="36" ht="18" customHeight="1" s="149">
      <c r="A36" s="108" t="n"/>
      <c r="B36" s="156" t="inlineStr">
        <is>
          <t>Debt(s)</t>
        </is>
      </c>
      <c r="C36" s="157" t="n"/>
      <c r="D36" s="115" t="n">
        <v>0</v>
      </c>
      <c r="E36" s="98">
        <f>if(isblank($B36), "", sumif(Transactions!$E:$E,$B36,Transactions!$C:$C))</f>
        <v/>
      </c>
      <c r="F36" s="106">
        <f>if(isblank($B36), "", D36-E36)</f>
        <v/>
      </c>
      <c r="G36" s="109" t="n"/>
      <c r="H36" s="158" t="n"/>
      <c r="I36" s="157" t="n"/>
      <c r="J36" s="112" t="n"/>
      <c r="K36" s="113">
        <f>if(isblank($H36), "", sumif(Transactions!$J:$J,$H36,Transactions!$H:$H))</f>
        <v/>
      </c>
      <c r="L36" s="119">
        <f>if(isblank($H36), "", K36-J36)</f>
        <v/>
      </c>
      <c r="M36" s="108" t="n"/>
    </row>
    <row r="37" ht="18" customHeight="1" s="149">
      <c r="A37" s="108" t="n"/>
      <c r="B37" s="156" t="inlineStr">
        <is>
          <t>Miscellaneous</t>
        </is>
      </c>
      <c r="C37" s="157" t="n"/>
      <c r="D37" s="115" t="n">
        <v>0</v>
      </c>
      <c r="E37" s="98">
        <f>if(isblank($B37), "", sumif(Transactions!$E:$E,$B37,Transactions!$C:$C))</f>
        <v/>
      </c>
      <c r="F37" s="106">
        <f>if(isblank($B37), "", D37-E37)</f>
        <v/>
      </c>
      <c r="G37" s="109" t="n"/>
      <c r="H37" s="158" t="n"/>
      <c r="I37" s="157" t="n"/>
      <c r="J37" s="112" t="n"/>
      <c r="K37" s="113">
        <f>if(isblank($H37), "", sumif(Transactions!$J:$J,$H37,Transactions!$H:$H))</f>
        <v/>
      </c>
      <c r="L37" s="119">
        <f>if(isblank($H37), "", K37-J37)</f>
        <v/>
      </c>
      <c r="M37" s="108" t="n"/>
    </row>
    <row r="38" ht="18" customHeight="1" s="149">
      <c r="A38" s="108" t="n"/>
      <c r="B38" s="156" t="inlineStr">
        <is>
          <t>Office work &amp; Stationary</t>
        </is>
      </c>
      <c r="C38" s="157" t="n"/>
      <c r="D38" s="115" t="n">
        <v>0</v>
      </c>
      <c r="E38" s="98">
        <f>if(isblank($B38), "", sumif(Transactions!$E:$E,$B38,Transactions!$C:$C))</f>
        <v/>
      </c>
      <c r="F38" s="106">
        <f>if(isblank($B38), "", D38-E38)</f>
        <v/>
      </c>
      <c r="G38" s="109" t="n"/>
      <c r="H38" s="158" t="n"/>
      <c r="I38" s="157" t="n"/>
      <c r="J38" s="112" t="n"/>
      <c r="K38" s="113">
        <f>if(isblank($H38), "", sumif(Transactions!$J:$J,$H38,Transactions!$H:$H))</f>
        <v/>
      </c>
      <c r="L38" s="119">
        <f>if(isblank($H38), "", K38-J38)</f>
        <v/>
      </c>
      <c r="M38" s="108" t="n"/>
    </row>
    <row r="39" ht="18" customHeight="1" s="149">
      <c r="A39" s="108" t="n"/>
      <c r="B39" s="159" t="inlineStr">
        <is>
          <t>Nicotine &amp; cigarettes</t>
        </is>
      </c>
      <c r="C39" s="157" t="n"/>
      <c r="D39" s="115" t="n">
        <v>0</v>
      </c>
      <c r="E39" s="98">
        <f>if(isblank($B39), "", sumif(Transactions!$E:$E,$B39,Transactions!$C:$C))</f>
        <v/>
      </c>
      <c r="F39" s="106">
        <f>if(isblank($B39), "", D39-E39)</f>
        <v/>
      </c>
      <c r="G39" s="109" t="n"/>
      <c r="H39" s="158" t="n"/>
      <c r="I39" s="157" t="n"/>
      <c r="J39" s="112" t="n"/>
      <c r="K39" s="113">
        <f>if(isblank($H39), "", sumif(Transactions!$J:$J,$H39,Transactions!$H:$H))</f>
        <v/>
      </c>
      <c r="L39" s="119">
        <f>if(isblank($H39), "", K39-J39)</f>
        <v/>
      </c>
      <c r="M39" s="108" t="n"/>
    </row>
    <row r="40" ht="18" customHeight="1" s="149">
      <c r="A40" s="108" t="n"/>
      <c r="B40" s="156" t="inlineStr">
        <is>
          <t>Fashion &amp; accessories</t>
        </is>
      </c>
      <c r="C40" s="157" t="n"/>
      <c r="D40" s="117" t="n">
        <v>0</v>
      </c>
      <c r="E40" s="98">
        <f>if(isblank($B40), "", sumif(Transactions!$E:$E,$B40,Transactions!$C:$C))</f>
        <v/>
      </c>
      <c r="F40" s="106">
        <f>if(isblank($B40), "", D40-E40)</f>
        <v/>
      </c>
      <c r="G40" s="109" t="n"/>
      <c r="H40" s="158" t="n"/>
      <c r="I40" s="157" t="n"/>
      <c r="J40" s="112" t="n"/>
      <c r="K40" s="113">
        <f>if(isblank($H40), "", sumif(Transactions!$J:$J,$H40,Transactions!$H:$H))</f>
        <v/>
      </c>
      <c r="L40" s="119">
        <f>if(isblank($H40), "", K40-J40)</f>
        <v/>
      </c>
      <c r="M40" s="108" t="n"/>
    </row>
    <row r="41" ht="18" customHeight="1" s="149">
      <c r="A41" s="108" t="n"/>
      <c r="B41" s="156" t="inlineStr">
        <is>
          <t>Home &amp; appliances</t>
        </is>
      </c>
      <c r="C41" s="157" t="n"/>
      <c r="D41" s="117" t="n">
        <v>0</v>
      </c>
      <c r="E41" s="98">
        <f>if(isblank($B41), "", sumif(Transactions!$E:$E,$B41,Transactions!$C:$C))</f>
        <v/>
      </c>
      <c r="F41" s="106">
        <f>if(isblank($B41), "", D41-E41)</f>
        <v/>
      </c>
      <c r="G41" s="109" t="n"/>
      <c r="H41" s="158" t="n"/>
      <c r="I41" s="157" t="n"/>
      <c r="J41" s="112" t="n"/>
      <c r="K41" s="113">
        <f>if(isblank($H41), "", sumif(Transactions!$J:$J,$H41,Transactions!$H:$H))</f>
        <v/>
      </c>
      <c r="L41" s="119">
        <f>if(isblank($H41), "", K41-J41)</f>
        <v/>
      </c>
      <c r="M41" s="108" t="n"/>
    </row>
    <row r="42" ht="18" customHeight="1" s="149">
      <c r="A42" s="108" t="n"/>
      <c r="B42" s="156" t="n"/>
      <c r="C42" s="157" t="n"/>
      <c r="D42" s="115" t="n"/>
      <c r="E42" s="98">
        <f>if(isblank($B42), "", sumif(Transactions!$E:$E,$B42,Transactions!$C:$C))</f>
        <v/>
      </c>
      <c r="F42" s="106">
        <f>if(isblank($B42), "", D42-E42)</f>
        <v/>
      </c>
      <c r="G42" s="109" t="n"/>
      <c r="H42" s="158" t="n"/>
      <c r="I42" s="157" t="n"/>
      <c r="J42" s="112" t="n"/>
      <c r="K42" s="113">
        <f>if(isblank($H42), "", sumif(Transactions!$J:$J,$H42,Transactions!$H:$H))</f>
        <v/>
      </c>
      <c r="L42" s="119">
        <f>if(isblank($H42), "", K42-J42)</f>
        <v/>
      </c>
      <c r="M42" s="108" t="n"/>
    </row>
    <row r="43" ht="19.5" customHeight="1" s="149">
      <c r="A43" s="108" t="n"/>
      <c r="B43" s="158" t="n"/>
      <c r="C43" s="157" t="n"/>
      <c r="D43" s="160" t="n"/>
      <c r="E43" s="98">
        <f>if(isblank($B43), "", sumif(Transactions!$E:$E,$B43,Transactions!$C:$C))</f>
        <v/>
      </c>
      <c r="F43" s="106">
        <f>if(isblank($B43), "", D43-E43)</f>
        <v/>
      </c>
      <c r="G43" s="109" t="n"/>
      <c r="H43" s="158" t="n"/>
      <c r="I43" s="157" t="n"/>
      <c r="J43" s="112" t="n"/>
      <c r="K43" s="113">
        <f>if(isblank($H43), "", sumif(Transactions!$J:$J,$H43,Transactions!$H:$H))</f>
        <v/>
      </c>
      <c r="L43" s="119">
        <f>if(isblank($H43), "", K43-J43)</f>
        <v/>
      </c>
      <c r="M43" s="108" t="n"/>
    </row>
    <row r="44" ht="18" customHeight="1" s="149">
      <c r="A44" s="108" t="n"/>
      <c r="B44" s="156" t="n"/>
      <c r="C44" s="157" t="n"/>
      <c r="D44" s="110" t="n"/>
      <c r="E44" s="98">
        <f>if(isblank($B44), "", sumif(Transactions!$E:$E,$B44,Transactions!$C:$C))</f>
        <v/>
      </c>
      <c r="F44" s="106">
        <f>if(isblank($B44), "", D44-E44)</f>
        <v/>
      </c>
      <c r="G44" s="109" t="n"/>
      <c r="H44" s="156" t="n"/>
      <c r="I44" s="157" t="n"/>
      <c r="J44" s="120" t="n"/>
      <c r="K44" s="113">
        <f>if(isblank($H44), "", sumif(Transactions!$J:$J,$H44,Transactions!$H:$H))</f>
        <v/>
      </c>
      <c r="L44" s="119">
        <f>if(isblank($H44), "", K44-J44)</f>
        <v/>
      </c>
      <c r="M44" s="108" t="n"/>
    </row>
    <row r="45" ht="18" customHeight="1" s="149">
      <c r="A45" s="108" t="n"/>
      <c r="B45" s="156" t="n"/>
      <c r="C45" s="157" t="n"/>
      <c r="D45" s="110" t="n"/>
      <c r="E45" s="98">
        <f>if(isblank($B45), "", sumif(Transactions!$E:$E,$B45,Transactions!$C:$C))</f>
        <v/>
      </c>
      <c r="F45" s="106">
        <f>if(isblank($B45), "", D45-E45)</f>
        <v/>
      </c>
      <c r="G45" s="109" t="n"/>
      <c r="H45" s="156" t="n"/>
      <c r="I45" s="157" t="n"/>
      <c r="J45" s="120" t="n"/>
      <c r="K45" s="113">
        <f>if(isblank($H45), "", sumif(Transactions!$J:$J,$H45,Transactions!$H:$H))</f>
        <v/>
      </c>
      <c r="L45" s="119">
        <f>if(isblank($H45), "", K45-J45)</f>
        <v/>
      </c>
      <c r="M45" s="108" t="n"/>
    </row>
  </sheetData>
  <mergeCells count="61">
    <mergeCell ref="I16:K16"/>
    <mergeCell ref="H35:I35"/>
    <mergeCell ref="H38:I38"/>
    <mergeCell ref="H29:I29"/>
    <mergeCell ref="B5:G6"/>
    <mergeCell ref="H43:I43"/>
    <mergeCell ref="B8:E9"/>
    <mergeCell ref="H41:I41"/>
    <mergeCell ref="B31:C31"/>
    <mergeCell ref="H31:I31"/>
    <mergeCell ref="H44:I44"/>
    <mergeCell ref="B27:C27"/>
    <mergeCell ref="H40:I40"/>
    <mergeCell ref="B43:C43"/>
    <mergeCell ref="B39:C39"/>
    <mergeCell ref="H39:I39"/>
    <mergeCell ref="H34:I34"/>
    <mergeCell ref="I4:M5"/>
    <mergeCell ref="I14:K14"/>
    <mergeCell ref="J22:L22"/>
    <mergeCell ref="B42:C42"/>
    <mergeCell ref="I17:K17"/>
    <mergeCell ref="H36:I36"/>
    <mergeCell ref="I2:L2"/>
    <mergeCell ref="B3:G4"/>
    <mergeCell ref="J21:L21"/>
    <mergeCell ref="B44:C44"/>
    <mergeCell ref="B38:C38"/>
    <mergeCell ref="B29:C29"/>
    <mergeCell ref="I13:K13"/>
    <mergeCell ref="D23:F23"/>
    <mergeCell ref="H32:I32"/>
    <mergeCell ref="H45:I45"/>
    <mergeCell ref="B37:C37"/>
    <mergeCell ref="D12:D15"/>
    <mergeCell ref="B34:C34"/>
    <mergeCell ref="B28:C28"/>
    <mergeCell ref="J23:L23"/>
    <mergeCell ref="B41:C41"/>
    <mergeCell ref="B2:H2"/>
    <mergeCell ref="H37:I37"/>
    <mergeCell ref="B40:C40"/>
    <mergeCell ref="H28:I28"/>
    <mergeCell ref="I15:K15"/>
    <mergeCell ref="H27:I27"/>
    <mergeCell ref="B24:C24"/>
    <mergeCell ref="B30:C30"/>
    <mergeCell ref="B33:C33"/>
    <mergeCell ref="B20:F20"/>
    <mergeCell ref="I3:L3"/>
    <mergeCell ref="H42:I42"/>
    <mergeCell ref="D22:F22"/>
    <mergeCell ref="B45:C45"/>
    <mergeCell ref="E12:E15"/>
    <mergeCell ref="H33:I33"/>
    <mergeCell ref="B36:C36"/>
    <mergeCell ref="B32:C32"/>
    <mergeCell ref="D21:F21"/>
    <mergeCell ref="J8:K8"/>
    <mergeCell ref="B35:C35"/>
    <mergeCell ref="H30:I30"/>
  </mergeCells>
  <conditionalFormatting sqref="B27:C45 H27:H45">
    <cfRule type="notContainsBlanks" priority="1" dxfId="0">
      <formula>LEN(TRIM(B27))&gt;0</formula>
    </cfRule>
  </conditionalFormatting>
  <conditionalFormatting sqref="D27:D45">
    <cfRule type="expression" priority="2" dxfId="0">
      <formula>not(isblank(B27))</formula>
    </cfRule>
  </conditionalFormatting>
  <conditionalFormatting sqref="J27:J45">
    <cfRule type="expression" priority="3" dxfId="0">
      <formula>not(isblank(H27))</formula>
    </cfRule>
  </conditionalFormatting>
  <conditionalFormatting sqref="F26:F45 L26:L45">
    <cfRule type="cellIs" priority="4" operator="lessThan" dxfId="1">
      <formula>0</formula>
    </cfRule>
  </conditionalFormatting>
  <conditionalFormatting sqref="F27:F45 L27:L45">
    <cfRule type="cellIs" priority="5" operator="equal" dxfId="2">
      <formula>0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K33"/>
  <sheetViews>
    <sheetView showGridLines="0" workbookViewId="0">
      <selection activeCell="A1" sqref="A1"/>
    </sheetView>
  </sheetViews>
  <sheetFormatPr baseColWidth="8" defaultColWidth="12.63" defaultRowHeight="15.75" customHeight="1"/>
  <cols>
    <col width="5.13" customWidth="1" style="149" min="1" max="1"/>
    <col width="10.5" customWidth="1" style="149" min="2" max="2"/>
    <col width="10" customWidth="1" style="149" min="3" max="3"/>
    <col width="20.88" customWidth="1" style="149" min="4" max="4"/>
    <col width="13.25" customWidth="1" style="149" min="5" max="5"/>
    <col width="5.13" customWidth="1" style="149" min="6" max="6"/>
    <col width="13.25" customWidth="1" style="149" min="9" max="9"/>
    <col width="5.13" customWidth="1" style="149" min="11" max="11"/>
  </cols>
  <sheetData>
    <row r="1" ht="33" customHeight="1" s="149">
      <c r="A1" s="121" t="n"/>
      <c r="B1" s="10" t="inlineStr">
        <is>
          <t>Change or add categories by updating the Expenses and Income tables in the Summary sheet.</t>
        </is>
      </c>
      <c r="K1" s="121" t="n"/>
    </row>
    <row r="2" ht="48" customHeight="1" s="149">
      <c r="A2" s="122" t="n"/>
      <c r="B2" s="123" t="inlineStr">
        <is>
          <t>Expenses</t>
        </is>
      </c>
      <c r="C2" s="124" t="n"/>
      <c r="D2" s="124" t="n"/>
      <c r="E2" s="124" t="n"/>
      <c r="F2" s="124" t="n"/>
      <c r="G2" s="123" t="inlineStr">
        <is>
          <t>Income</t>
        </is>
      </c>
      <c r="H2" s="122" t="n"/>
      <c r="I2" s="122" t="n"/>
      <c r="J2" s="122" t="n"/>
      <c r="K2" s="122" t="n"/>
    </row>
    <row r="3" ht="12" customHeight="1" s="149">
      <c r="A3" s="14" t="n"/>
      <c r="B3" s="125" t="n"/>
      <c r="C3" s="125" t="n"/>
      <c r="D3" s="125" t="n"/>
      <c r="E3" s="125" t="n"/>
      <c r="F3" s="14" t="n"/>
      <c r="G3" s="125" t="n"/>
      <c r="H3" s="125" t="n"/>
      <c r="I3" s="125" t="n"/>
      <c r="J3" s="125" t="n"/>
      <c r="K3" s="14" t="n"/>
    </row>
    <row r="4" ht="24" customHeight="1" s="149">
      <c r="A4" s="66" t="n"/>
      <c r="B4" s="126" t="inlineStr">
        <is>
          <t>Date</t>
        </is>
      </c>
      <c r="C4" s="126" t="inlineStr">
        <is>
          <t>Amount</t>
        </is>
      </c>
      <c r="D4" s="126" t="inlineStr">
        <is>
          <t>Description</t>
        </is>
      </c>
      <c r="E4" s="126" t="inlineStr">
        <is>
          <t>Category</t>
        </is>
      </c>
      <c r="F4" s="66" t="n"/>
      <c r="G4" s="126" t="inlineStr">
        <is>
          <t>Date</t>
        </is>
      </c>
      <c r="H4" s="127" t="inlineStr">
        <is>
          <t>Amount</t>
        </is>
      </c>
      <c r="I4" s="126" t="inlineStr">
        <is>
          <t>Description</t>
        </is>
      </c>
      <c r="J4" s="126" t="inlineStr">
        <is>
          <t>Category</t>
        </is>
      </c>
      <c r="K4" s="66" t="n"/>
    </row>
    <row r="5" ht="19.5" customHeight="1" s="149">
      <c r="A5" s="66" t="n"/>
      <c r="B5" s="128" t="n">
        <v>46023</v>
      </c>
      <c r="C5" s="129" t="n">
        <v>0</v>
      </c>
      <c r="D5" s="130" t="inlineStr">
        <is>
          <t>Rent</t>
        </is>
      </c>
      <c r="E5" s="131" t="inlineStr">
        <is>
          <t>Groceries</t>
        </is>
      </c>
      <c r="F5" s="66" t="n"/>
      <c r="G5" s="128" t="n">
        <v>36777</v>
      </c>
      <c r="H5" s="129" t="n">
        <v>0</v>
      </c>
      <c r="I5" s="132" t="inlineStr">
        <is>
          <t>Paycheck</t>
        </is>
      </c>
      <c r="J5" s="131" t="inlineStr">
        <is>
          <t>Disability Support Pension</t>
        </is>
      </c>
      <c r="K5" s="66" t="n"/>
    </row>
    <row r="6" ht="19.5" customHeight="1" s="149">
      <c r="A6" s="66" t="n"/>
      <c r="B6" s="140" t="n"/>
      <c r="C6" s="141" t="n"/>
      <c r="D6" s="142" t="n"/>
      <c r="E6" s="138" t="n"/>
      <c r="F6" s="66" t="n"/>
      <c r="G6" s="140" t="n"/>
      <c r="H6" s="141" t="n"/>
      <c r="I6" s="139" t="n"/>
      <c r="J6" s="138" t="n"/>
      <c r="K6" s="66" t="n"/>
    </row>
    <row r="7" ht="19.5" customHeight="1" s="149">
      <c r="A7" s="66" t="n"/>
      <c r="B7" s="140" t="n"/>
      <c r="C7" s="141" t="n"/>
      <c r="D7" s="142" t="n"/>
      <c r="E7" s="138" t="n"/>
      <c r="F7" s="66" t="n"/>
      <c r="G7" s="140" t="n"/>
      <c r="H7" s="141" t="n"/>
      <c r="I7" s="139" t="n"/>
      <c r="J7" s="138" t="n"/>
      <c r="K7" s="66" t="n"/>
    </row>
    <row r="8" ht="19.5" customHeight="1" s="149">
      <c r="A8" s="66" t="n"/>
      <c r="B8" s="140" t="n"/>
      <c r="C8" s="141" t="n"/>
      <c r="D8" s="142" t="n"/>
      <c r="E8" s="138" t="n"/>
      <c r="F8" s="66" t="n"/>
      <c r="G8" s="140" t="n"/>
      <c r="H8" s="141" t="n"/>
      <c r="I8" s="139" t="n"/>
      <c r="J8" s="138" t="n"/>
      <c r="K8" s="66" t="n"/>
    </row>
    <row r="9" ht="19.5" customHeight="1" s="149">
      <c r="A9" s="66" t="n"/>
      <c r="B9" s="140" t="n"/>
      <c r="C9" s="141" t="n"/>
      <c r="D9" s="142" t="n"/>
      <c r="E9" s="138" t="n"/>
      <c r="F9" s="66" t="n"/>
      <c r="G9" s="140" t="n"/>
      <c r="H9" s="141" t="n"/>
      <c r="I9" s="139" t="n"/>
      <c r="J9" s="138" t="n"/>
      <c r="K9" s="66" t="n"/>
    </row>
    <row r="10" ht="19.5" customHeight="1" s="149">
      <c r="A10" s="66" t="n"/>
      <c r="B10" s="140" t="n"/>
      <c r="C10" s="141" t="n"/>
      <c r="D10" s="142" t="n"/>
      <c r="E10" s="138" t="n"/>
      <c r="F10" s="66" t="n"/>
      <c r="G10" s="140" t="n"/>
      <c r="H10" s="141" t="n"/>
      <c r="I10" s="139" t="n"/>
      <c r="J10" s="138" t="n"/>
      <c r="K10" s="66" t="n"/>
    </row>
    <row r="11" ht="19.5" customHeight="1" s="149">
      <c r="A11" s="66" t="n"/>
      <c r="B11" s="140" t="n"/>
      <c r="C11" s="141" t="n"/>
      <c r="D11" s="142" t="n"/>
      <c r="E11" s="138" t="n"/>
      <c r="F11" s="66" t="n"/>
      <c r="G11" s="140" t="n"/>
      <c r="H11" s="141" t="n"/>
      <c r="I11" s="139" t="n"/>
      <c r="J11" s="138" t="n"/>
      <c r="K11" s="66" t="n"/>
    </row>
    <row r="12" ht="19.5" customHeight="1" s="149">
      <c r="A12" s="66" t="n"/>
      <c r="B12" s="140" t="n"/>
      <c r="C12" s="141" t="n"/>
      <c r="D12" s="142" t="n"/>
      <c r="E12" s="138" t="n"/>
      <c r="F12" s="66" t="n"/>
      <c r="G12" s="140" t="n"/>
      <c r="H12" s="141" t="n"/>
      <c r="I12" s="139" t="n"/>
      <c r="J12" s="138" t="n"/>
      <c r="K12" s="66" t="n"/>
    </row>
    <row r="13" ht="19.5" customHeight="1" s="149">
      <c r="A13" s="66" t="n"/>
      <c r="B13" s="140" t="n"/>
      <c r="C13" s="141" t="n"/>
      <c r="D13" s="142" t="n"/>
      <c r="E13" s="138" t="n"/>
      <c r="F13" s="66" t="n"/>
      <c r="G13" s="140" t="n"/>
      <c r="H13" s="141" t="n"/>
      <c r="I13" s="139" t="n"/>
      <c r="J13" s="138" t="n"/>
      <c r="K13" s="66" t="n"/>
    </row>
    <row r="14" ht="19.5" customHeight="1" s="149">
      <c r="A14" s="66" t="n"/>
      <c r="B14" s="140" t="n"/>
      <c r="C14" s="141" t="n"/>
      <c r="D14" s="142" t="n"/>
      <c r="E14" s="138" t="n"/>
      <c r="F14" s="66" t="n"/>
      <c r="G14" s="140" t="n"/>
      <c r="H14" s="141" t="n"/>
      <c r="I14" s="139" t="n"/>
      <c r="J14" s="138" t="n"/>
      <c r="K14" s="66" t="n"/>
    </row>
    <row r="15" ht="19.5" customHeight="1" s="149">
      <c r="A15" s="66" t="n"/>
      <c r="B15" s="140" t="n"/>
      <c r="C15" s="141" t="n"/>
      <c r="D15" s="142" t="n"/>
      <c r="E15" s="138" t="n"/>
      <c r="F15" s="66" t="n"/>
      <c r="G15" s="140" t="n"/>
      <c r="H15" s="141" t="n"/>
      <c r="I15" s="139" t="n"/>
      <c r="J15" s="138" t="n"/>
      <c r="K15" s="66" t="n"/>
    </row>
    <row r="16" ht="19.5" customHeight="1" s="149">
      <c r="A16" s="66" t="n"/>
      <c r="B16" s="140" t="n"/>
      <c r="C16" s="141" t="n"/>
      <c r="D16" s="142" t="n"/>
      <c r="E16" s="138" t="n"/>
      <c r="F16" s="66" t="n"/>
      <c r="G16" s="140" t="n"/>
      <c r="H16" s="141" t="n"/>
      <c r="I16" s="139" t="n"/>
      <c r="J16" s="138" t="n"/>
      <c r="K16" s="66" t="n"/>
    </row>
    <row r="17" ht="19.5" customHeight="1" s="149">
      <c r="A17" s="66" t="n"/>
      <c r="B17" s="140" t="n"/>
      <c r="C17" s="141" t="n"/>
      <c r="D17" s="142" t="n"/>
      <c r="E17" s="138" t="n"/>
      <c r="F17" s="66" t="n"/>
      <c r="G17" s="140" t="n"/>
      <c r="H17" s="141" t="n"/>
      <c r="I17" s="139" t="n"/>
      <c r="J17" s="138" t="n"/>
      <c r="K17" s="66" t="n"/>
    </row>
    <row r="18" ht="19.5" customHeight="1" s="149">
      <c r="A18" s="66" t="n"/>
      <c r="B18" s="140" t="n"/>
      <c r="C18" s="141" t="n"/>
      <c r="D18" s="142" t="n"/>
      <c r="E18" s="138" t="n"/>
      <c r="F18" s="66" t="n"/>
      <c r="G18" s="140" t="n"/>
      <c r="H18" s="141" t="n"/>
      <c r="I18" s="139" t="n"/>
      <c r="J18" s="138" t="n"/>
      <c r="K18" s="66" t="n"/>
    </row>
    <row r="19" ht="19.5" customHeight="1" s="149">
      <c r="A19" s="66" t="n"/>
      <c r="B19" s="140" t="n"/>
      <c r="C19" s="141" t="n"/>
      <c r="D19" s="142" t="n"/>
      <c r="E19" s="138" t="n"/>
      <c r="F19" s="66" t="n"/>
      <c r="G19" s="140" t="n"/>
      <c r="H19" s="141" t="n"/>
      <c r="I19" s="139" t="n"/>
      <c r="J19" s="138" t="n"/>
      <c r="K19" s="66" t="n"/>
    </row>
    <row r="20" ht="19.5" customHeight="1" s="149">
      <c r="A20" s="66" t="n"/>
      <c r="B20" s="140" t="n"/>
      <c r="C20" s="141" t="n"/>
      <c r="D20" s="142" t="n"/>
      <c r="E20" s="138" t="n"/>
      <c r="F20" s="66" t="n"/>
      <c r="G20" s="140" t="n"/>
      <c r="H20" s="141" t="n"/>
      <c r="I20" s="139" t="n"/>
      <c r="J20" s="138" t="n"/>
      <c r="K20" s="66" t="n"/>
    </row>
    <row r="21" ht="19.5" customHeight="1" s="149">
      <c r="A21" s="66" t="n"/>
      <c r="B21" s="140" t="n"/>
      <c r="C21" s="141" t="n"/>
      <c r="D21" s="142" t="n"/>
      <c r="E21" s="138" t="n"/>
      <c r="F21" s="66" t="n"/>
      <c r="G21" s="140" t="n"/>
      <c r="H21" s="141" t="n"/>
      <c r="I21" s="139" t="n"/>
      <c r="J21" s="138" t="n"/>
      <c r="K21" s="66" t="n"/>
    </row>
    <row r="22" ht="19.5" customHeight="1" s="149">
      <c r="A22" s="66" t="n"/>
      <c r="B22" s="140" t="n"/>
      <c r="C22" s="141" t="n"/>
      <c r="D22" s="142" t="n"/>
      <c r="E22" s="138" t="n"/>
      <c r="F22" s="66" t="n"/>
      <c r="G22" s="140" t="n"/>
      <c r="H22" s="141" t="n"/>
      <c r="I22" s="139" t="n"/>
      <c r="J22" s="138" t="n"/>
      <c r="K22" s="66" t="n"/>
    </row>
    <row r="23" ht="19.5" customHeight="1" s="149">
      <c r="A23" s="66" t="n"/>
      <c r="B23" s="140" t="n"/>
      <c r="C23" s="141" t="n"/>
      <c r="D23" s="142" t="n"/>
      <c r="E23" s="138" t="n"/>
      <c r="F23" s="66" t="n"/>
      <c r="G23" s="140" t="n"/>
      <c r="H23" s="141" t="n"/>
      <c r="I23" s="139" t="n"/>
      <c r="J23" s="138" t="n"/>
      <c r="K23" s="66" t="n"/>
    </row>
    <row r="24" ht="19.5" customHeight="1" s="149">
      <c r="A24" s="66" t="n"/>
      <c r="B24" s="140" t="n"/>
      <c r="C24" s="141" t="n"/>
      <c r="D24" s="142" t="n"/>
      <c r="E24" s="138" t="n"/>
      <c r="F24" s="66" t="n"/>
      <c r="G24" s="140" t="n"/>
      <c r="H24" s="141" t="n"/>
      <c r="I24" s="139" t="n"/>
      <c r="J24" s="138" t="n"/>
      <c r="K24" s="66" t="n"/>
    </row>
    <row r="25" ht="19.5" customHeight="1" s="149">
      <c r="A25" s="66" t="n"/>
      <c r="B25" s="140" t="n"/>
      <c r="C25" s="141" t="n"/>
      <c r="D25" s="142" t="n"/>
      <c r="E25" s="138" t="n"/>
      <c r="F25" s="66" t="n"/>
      <c r="G25" s="140" t="n"/>
      <c r="H25" s="141" t="n"/>
      <c r="I25" s="139" t="n"/>
      <c r="J25" s="138" t="n"/>
      <c r="K25" s="66" t="n"/>
    </row>
    <row r="26" ht="19.5" customHeight="1" s="149">
      <c r="A26" s="66" t="n"/>
      <c r="B26" s="140" t="n"/>
      <c r="C26" s="141" t="n"/>
      <c r="D26" s="142" t="n"/>
      <c r="E26" s="138" t="n"/>
      <c r="F26" s="66" t="n"/>
      <c r="G26" s="140" t="n"/>
      <c r="H26" s="141" t="n"/>
      <c r="I26" s="139" t="n"/>
      <c r="J26" s="138" t="n"/>
      <c r="K26" s="66" t="n"/>
    </row>
    <row r="27" ht="19.5" customHeight="1" s="149">
      <c r="A27" s="66" t="n"/>
      <c r="B27" s="140" t="n"/>
      <c r="C27" s="141" t="n"/>
      <c r="D27" s="142" t="n"/>
      <c r="E27" s="138" t="n"/>
      <c r="F27" s="66" t="n"/>
      <c r="G27" s="140" t="n"/>
      <c r="H27" s="141" t="n"/>
      <c r="I27" s="139" t="n"/>
      <c r="J27" s="138" t="n"/>
      <c r="K27" s="66" t="n"/>
    </row>
    <row r="28" ht="19.5" customHeight="1" s="149">
      <c r="A28" s="66" t="n"/>
      <c r="B28" s="140" t="n"/>
      <c r="C28" s="141" t="n"/>
      <c r="D28" s="142" t="n"/>
      <c r="E28" s="138" t="n"/>
      <c r="F28" s="66" t="n"/>
      <c r="G28" s="140" t="n"/>
      <c r="H28" s="141" t="n"/>
      <c r="I28" s="139" t="n"/>
      <c r="J28" s="138" t="n"/>
      <c r="K28" s="66" t="n"/>
    </row>
    <row r="29" ht="19.5" customHeight="1" s="149">
      <c r="A29" s="66" t="n"/>
      <c r="B29" s="140" t="n"/>
      <c r="C29" s="141" t="n"/>
      <c r="D29" s="142" t="n"/>
      <c r="E29" s="138" t="n"/>
      <c r="F29" s="66" t="n"/>
      <c r="G29" s="140" t="n"/>
      <c r="H29" s="141" t="n"/>
      <c r="I29" s="139" t="n"/>
      <c r="J29" s="138" t="n"/>
      <c r="K29" s="66" t="n"/>
    </row>
    <row r="30" ht="19.5" customHeight="1" s="149">
      <c r="A30" s="66" t="n"/>
      <c r="B30" s="140" t="n"/>
      <c r="C30" s="141" t="n"/>
      <c r="D30" s="142" t="n"/>
      <c r="E30" s="138" t="n"/>
      <c r="F30" s="66" t="n"/>
      <c r="G30" s="140" t="n"/>
      <c r="H30" s="141" t="n"/>
      <c r="I30" s="139" t="n"/>
      <c r="J30" s="138" t="n"/>
      <c r="K30" s="66" t="n"/>
    </row>
    <row r="31" ht="19.5" customHeight="1" s="149">
      <c r="A31" s="66" t="n"/>
      <c r="B31" s="140" t="n"/>
      <c r="C31" s="141" t="n"/>
      <c r="D31" s="142" t="n"/>
      <c r="E31" s="138" t="n"/>
      <c r="F31" s="66" t="n"/>
      <c r="G31" s="140" t="n"/>
      <c r="H31" s="141" t="n"/>
      <c r="I31" s="139" t="n"/>
      <c r="J31" s="138" t="n"/>
      <c r="K31" s="66" t="n"/>
    </row>
    <row r="32" ht="19.5" customHeight="1" s="149">
      <c r="A32" s="66" t="n"/>
      <c r="B32" s="140" t="n"/>
      <c r="C32" s="141" t="n"/>
      <c r="D32" s="142" t="n"/>
      <c r="E32" s="138" t="n"/>
      <c r="F32" s="66" t="n"/>
      <c r="G32" s="140" t="n"/>
      <c r="H32" s="141" t="n"/>
      <c r="I32" s="139" t="n"/>
      <c r="J32" s="138" t="n"/>
      <c r="K32" s="66" t="n"/>
    </row>
    <row r="33" ht="19.5" customHeight="1" s="149">
      <c r="A33" s="66" t="n"/>
      <c r="B33" s="143" t="n"/>
      <c r="C33" s="144" t="n"/>
      <c r="D33" s="145" t="n"/>
      <c r="E33" s="146" t="n"/>
      <c r="F33" s="66" t="n"/>
      <c r="G33" s="143" t="n"/>
      <c r="H33" s="147" t="n"/>
      <c r="I33" s="148" t="n"/>
      <c r="J33" s="146" t="n"/>
      <c r="K33" s="66" t="n"/>
    </row>
  </sheetData>
  <mergeCells count="1">
    <mergeCell ref="B1:J1"/>
  </mergeCells>
  <dataValidations count="2">
    <dataValidation sqref="J5:J33" showDropDown="0" showInputMessage="0" showErrorMessage="0" allowBlank="1" type="list">
      <formula1>Summary!$H$27:$I$45</formula1>
    </dataValidation>
    <dataValidation sqref="E5:E33" showDropDown="0" showInputMessage="0" showErrorMessage="0" allowBlank="1" type="list">
      <formula1>Summary!$B$27:$C$45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2026-06-08T14:41:06Z</dcterms:created>
  <dcterms:modified xsi:type="dcterms:W3CDTF">2026-06-08T14:41:06Z</dcterms:modified>
</cp:coreProperties>
</file>